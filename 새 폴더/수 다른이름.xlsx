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물류 메인\Desktop\"/>
    </mc:Choice>
  </mc:AlternateContent>
  <xr:revisionPtr revIDLastSave="0" documentId="13_ncr:1_{C4E5A3F6-5463-4AAD-96B9-0AEAF6A92390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로켓그로스 입고" sheetId="1" r:id="rId1"/>
    <sheet name="바코드찍는곳" sheetId="3" r:id="rId2"/>
    <sheet name="엑셀 일괄 입고요청 사용법 및 유의사항" sheetId="2" r:id="rId3"/>
  </sheets>
  <definedNames>
    <definedName name="_xlnm._FilterDatabase" localSheetId="0" hidden="1">'로켓그로스 입고'!$A$3:$AM$102</definedName>
    <definedName name="_xlnm._FilterDatabase" localSheetId="1" hidden="1">바코드찍는곳!$A$2:$A$1656</definedName>
    <definedName name="_xlnm.Extract" localSheetId="1">바코드찍는곳!$B$2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" i="1" l="1"/>
  <c r="V16" i="1"/>
  <c r="V23" i="1"/>
  <c r="V33" i="1"/>
  <c r="V37" i="1"/>
  <c r="V42" i="1"/>
  <c r="V43" i="1"/>
  <c r="V60" i="1"/>
  <c r="V61" i="1"/>
  <c r="V67" i="1"/>
  <c r="V70" i="1"/>
  <c r="V72" i="1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V6" i="1" s="1"/>
  <c r="C99" i="3"/>
  <c r="V7" i="1" s="1"/>
  <c r="C98" i="3"/>
  <c r="V54" i="1" s="1"/>
  <c r="C97" i="3"/>
  <c r="V91" i="1" s="1"/>
  <c r="C96" i="3"/>
  <c r="V76" i="1" s="1"/>
  <c r="C95" i="3"/>
  <c r="V90" i="1" s="1"/>
  <c r="C94" i="3"/>
  <c r="V102" i="1" s="1"/>
  <c r="C93" i="3"/>
  <c r="V101" i="1" s="1"/>
  <c r="C92" i="3"/>
  <c r="V98" i="1" s="1"/>
  <c r="C91" i="3"/>
  <c r="V51" i="1" s="1"/>
  <c r="C90" i="3"/>
  <c r="V52" i="1" s="1"/>
  <c r="C89" i="3"/>
  <c r="V96" i="1" s="1"/>
  <c r="C88" i="3"/>
  <c r="V92" i="1" s="1"/>
  <c r="C87" i="3"/>
  <c r="V97" i="1" s="1"/>
  <c r="C86" i="3"/>
  <c r="V93" i="1" s="1"/>
  <c r="C85" i="3"/>
  <c r="V95" i="1" s="1"/>
  <c r="C84" i="3"/>
  <c r="V14" i="1" s="1"/>
  <c r="C83" i="3"/>
  <c r="V18" i="1" s="1"/>
  <c r="C82" i="3"/>
  <c r="V17" i="1" s="1"/>
  <c r="C81" i="3"/>
  <c r="V19" i="1" s="1"/>
  <c r="C80" i="3"/>
  <c r="V20" i="1" s="1"/>
  <c r="C79" i="3"/>
  <c r="V78" i="1" s="1"/>
  <c r="C78" i="3"/>
  <c r="V38" i="1" s="1"/>
  <c r="C77" i="3"/>
  <c r="V39" i="1" s="1"/>
  <c r="C76" i="3"/>
  <c r="V12" i="1" s="1"/>
  <c r="C75" i="3"/>
  <c r="V84" i="1" s="1"/>
  <c r="C74" i="3"/>
  <c r="V85" i="1" s="1"/>
  <c r="C73" i="3"/>
  <c r="V35" i="1" s="1"/>
  <c r="C72" i="3"/>
  <c r="V73" i="1" s="1"/>
  <c r="C71" i="3"/>
  <c r="V28" i="1" s="1"/>
  <c r="C70" i="3"/>
  <c r="V69" i="1" s="1"/>
  <c r="C69" i="3"/>
  <c r="V68" i="1" s="1"/>
  <c r="C68" i="3"/>
  <c r="V71" i="1" s="1"/>
  <c r="C67" i="3"/>
  <c r="V48" i="1" s="1"/>
  <c r="C66" i="3"/>
  <c r="V56" i="1" s="1"/>
  <c r="C65" i="3"/>
  <c r="V15" i="1" s="1"/>
  <c r="C64" i="3"/>
  <c r="V57" i="1" s="1"/>
  <c r="C63" i="3"/>
  <c r="C62" i="3"/>
  <c r="V64" i="1" s="1"/>
  <c r="C61" i="3"/>
  <c r="V75" i="1" s="1"/>
  <c r="C60" i="3"/>
  <c r="C59" i="3"/>
  <c r="V62" i="1" s="1"/>
  <c r="C58" i="3"/>
  <c r="V65" i="1" s="1"/>
  <c r="C57" i="3"/>
  <c r="V63" i="1" s="1"/>
  <c r="C56" i="3"/>
  <c r="V5" i="1" s="1"/>
  <c r="C55" i="3"/>
  <c r="V36" i="1" s="1"/>
  <c r="C54" i="3"/>
  <c r="V82" i="1" s="1"/>
  <c r="C53" i="3"/>
  <c r="V74" i="1" s="1"/>
  <c r="C52" i="3"/>
  <c r="V26" i="1" s="1"/>
  <c r="C51" i="3"/>
  <c r="V58" i="1" s="1"/>
  <c r="C50" i="3"/>
  <c r="V83" i="1" s="1"/>
  <c r="C49" i="3"/>
  <c r="C48" i="3"/>
  <c r="C47" i="3"/>
  <c r="V66" i="1" s="1"/>
  <c r="C46" i="3"/>
  <c r="C45" i="3"/>
  <c r="V49" i="1" s="1"/>
  <c r="C44" i="3"/>
  <c r="V50" i="1" s="1"/>
  <c r="C43" i="3"/>
  <c r="V47" i="1" s="1"/>
  <c r="C42" i="3"/>
  <c r="V24" i="1" s="1"/>
  <c r="C41" i="3"/>
  <c r="V25" i="1" s="1"/>
  <c r="C40" i="3"/>
  <c r="C39" i="3"/>
  <c r="V22" i="1" s="1"/>
  <c r="C38" i="3"/>
  <c r="C37" i="3"/>
  <c r="C36" i="3"/>
  <c r="V34" i="1" s="1"/>
  <c r="C35" i="3"/>
  <c r="V11" i="1" s="1"/>
  <c r="C34" i="3"/>
  <c r="V8" i="1" s="1"/>
  <c r="C33" i="3"/>
  <c r="C32" i="3"/>
  <c r="C31" i="3"/>
  <c r="V99" i="1" s="1"/>
  <c r="C30" i="3"/>
  <c r="V88" i="1" s="1"/>
  <c r="C29" i="3"/>
  <c r="V100" i="1" s="1"/>
  <c r="C28" i="3"/>
  <c r="C27" i="3"/>
  <c r="V79" i="1" s="1"/>
  <c r="C26" i="3"/>
  <c r="V27" i="1" s="1"/>
  <c r="C25" i="3"/>
  <c r="V9" i="1" s="1"/>
  <c r="C24" i="3"/>
  <c r="V30" i="1" s="1"/>
  <c r="C23" i="3"/>
  <c r="V31" i="1" s="1"/>
  <c r="C22" i="3"/>
  <c r="V77" i="1" s="1"/>
  <c r="C21" i="3"/>
  <c r="V59" i="1" s="1"/>
  <c r="C20" i="3"/>
  <c r="V89" i="1" s="1"/>
  <c r="C19" i="3"/>
  <c r="V94" i="1" s="1"/>
  <c r="C18" i="3"/>
  <c r="V87" i="1" s="1"/>
  <c r="C17" i="3"/>
  <c r="V86" i="1" s="1"/>
  <c r="C16" i="3"/>
  <c r="V41" i="1" s="1"/>
  <c r="C15" i="3"/>
  <c r="V40" i="1" s="1"/>
  <c r="C14" i="3"/>
  <c r="V81" i="1" s="1"/>
  <c r="C13" i="3"/>
  <c r="V44" i="1" s="1"/>
  <c r="C12" i="3"/>
  <c r="C11" i="3"/>
  <c r="C10" i="3"/>
  <c r="C9" i="3"/>
  <c r="C8" i="3"/>
  <c r="C7" i="3"/>
  <c r="C6" i="3"/>
  <c r="C5" i="3"/>
  <c r="V45" i="1" s="1"/>
  <c r="C4" i="3"/>
  <c r="C3" i="3"/>
  <c r="C2" i="3"/>
  <c r="V46" i="1" l="1"/>
  <c r="V80" i="1"/>
  <c r="V13" i="1"/>
  <c r="V55" i="1"/>
  <c r="V29" i="1"/>
  <c r="V21" i="1"/>
  <c r="V32" i="1"/>
  <c r="V5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Coupang</author>
  </authors>
  <commentList>
    <comment ref="AC82" authorId="0" shapeId="0" xr:uid="{00000000-0006-0000-0000-00000A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83" authorId="0" shapeId="0" xr:uid="{00000000-0006-0000-0000-000028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84" authorId="0" shapeId="0" xr:uid="{00000000-0006-0000-0000-00002C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85" authorId="0" shapeId="0" xr:uid="{00000000-0006-0000-0000-000035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86" authorId="0" shapeId="0" xr:uid="{00000000-0006-0000-0000-000061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  <comment ref="AC87" authorId="0" shapeId="0" xr:uid="{00000000-0006-0000-0000-000064000000}">
      <text>
        <r>
          <rPr>
            <sz val="11"/>
            <color indexed="8"/>
            <rFont val="맑은 고딕"/>
            <family val="2"/>
            <scheme val="minor"/>
          </rPr>
          <t>물류센터 배분을 위한 상품 사이즈 분류
※ Small 기준: 
500x329x309 공간 내에 3개 이상 적재 가능, 무게가 5kg이하
--------------------
※ Medium 기준: 
⑴ 500x329x309 공간 내에 3개 이상 적재 가능, 개별 무게 5kg초과 
⑵ 500x329x309 공간 내에 2개 이상 적재 가능 
⑶ 560x389x341 공간 내에 적재 가능
--------------------
※ Large 기준: 
560x389x341 공간 내에 적재 불가한 상품 전체</t>
        </r>
      </text>
    </comment>
  </commentList>
</comments>
</file>

<file path=xl/sharedStrings.xml><?xml version="1.0" encoding="utf-8"?>
<sst xmlns="http://schemas.openxmlformats.org/spreadsheetml/2006/main" count="1966" uniqueCount="467">
  <si>
    <t>*지난 1개월 매출순 기준으로 로켓그로스 판매 가능한 상품 목록입니다. 로켓그로스에서 운영하지 않는 카테고리나 품목은 제외되었습니다.
*로켓그로스 입고 필수 정보를 입력하고 윙 [로켓그로스 &gt; 입고관리 &gt; 입고요청 &gt; 상품선택 &gt; 엑셀 업로드]에서 엑셀 파일을 업로드하고 배송을 생성해주세요.</t>
  </si>
  <si>
    <t>*로켓그로스 입고 필수정보
로켓그로스로 입고하려면 파란색 테두리의 정보를 입력 후 엑셀파일을 윙에서 업로드해주세요</t>
  </si>
  <si>
    <t>*엑셀 업로드 바로가기 ▶</t>
  </si>
  <si>
    <t>1. 좌측 하단의 파란색 테두리를 입력한 후 좌측 바로가기를 눌러 본 엑셀 파일을 윙에 업로드해주세요.
2. 업로드 완료 후 윙의 안내에 따라 입고절차를 진행해주세요.</t>
  </si>
  <si>
    <t xml:space="preserve"> </t>
  </si>
  <si>
    <t>상품명</t>
  </si>
  <si>
    <t>판매가</t>
  </si>
  <si>
    <t>상품정보</t>
  </si>
  <si>
    <t>최근 상품별 매출정보(원)</t>
  </si>
  <si>
    <t>로켓그로스 수수료/서비스 예상 요금</t>
  </si>
  <si>
    <t>입고 수량</t>
  </si>
  <si>
    <t>유통기간</t>
  </si>
  <si>
    <t>물류 정보</t>
  </si>
  <si>
    <t>상품추가정보</t>
  </si>
  <si>
    <t>No.</t>
  </si>
  <si>
    <t>등록상품명</t>
  </si>
  <si>
    <t>옵션명</t>
  </si>
  <si>
    <t>노출상품 ID</t>
  </si>
  <si>
    <t>등록상품 ID</t>
  </si>
  <si>
    <t>옵션 ID</t>
  </si>
  <si>
    <t>판매 방식</t>
  </si>
  <si>
    <t>22년 총계</t>
  </si>
  <si>
    <t>23년 총계</t>
  </si>
  <si>
    <t>23년 3월</t>
  </si>
  <si>
    <t>23년 2월</t>
  </si>
  <si>
    <t>23년 1월</t>
  </si>
  <si>
    <t>지난 14일</t>
  </si>
  <si>
    <t>2주간 
판매수량</t>
  </si>
  <si>
    <t>1주간 
판매수량</t>
  </si>
  <si>
    <t>판매자
수수료율</t>
  </si>
  <si>
    <t>판매자
수수료</t>
  </si>
  <si>
    <t>쿠팡풀필먼트서비스
예상 요금(개당)
(입출고요금+배송료 / 보관료 미포함)</t>
  </si>
  <si>
    <t>기본 할인액</t>
  </si>
  <si>
    <t>할인 적용 예상 요금</t>
  </si>
  <si>
    <t>입고 수량 입력
(필수)</t>
  </si>
  <si>
    <t>입고수량에 따른
2주간 예상 매출</t>
  </si>
  <si>
    <t>유통기간 입력 
(해당 시 필수)</t>
  </si>
  <si>
    <t>유통(소비)기한
(필수)</t>
  </si>
  <si>
    <t>제조일자
(필수)</t>
  </si>
  <si>
    <t>생산년도
(필수)</t>
  </si>
  <si>
    <t>상품바코드
(필수)</t>
  </si>
  <si>
    <t>상품 사이즈
(필수)</t>
  </si>
  <si>
    <t>취급주의여부
(필수)</t>
  </si>
  <si>
    <t>판매가능재고</t>
  </si>
  <si>
    <t>예상 재고 소진일</t>
  </si>
  <si>
    <t>카테고리</t>
  </si>
  <si>
    <t>병행수입
여부</t>
  </si>
  <si>
    <t>과세유형</t>
  </si>
  <si>
    <t>SKU ID</t>
  </si>
  <si>
    <t>Req exp date</t>
  </si>
  <si>
    <t>Req man date</t>
  </si>
  <si>
    <t>Req prod year</t>
  </si>
  <si>
    <t>예시 및 설명</t>
  </si>
  <si>
    <t>스누피 티셔츠</t>
  </si>
  <si>
    <t>블랙 S</t>
  </si>
  <si>
    <t>25000</t>
  </si>
  <si>
    <t>7269865933</t>
  </si>
  <si>
    <t>14047501199</t>
  </si>
  <si>
    <t>85676422188</t>
  </si>
  <si>
    <t>판매자배송</t>
  </si>
  <si>
    <t>동일상품 기준
 합산 매출
(로켓그로스 포함)</t>
  </si>
  <si>
    <t>이전 14일 기준
 (단위: 개)</t>
  </si>
  <si>
    <t>이전 7일 기준
 (단위: 개)</t>
  </si>
  <si>
    <t>(댠위: 원)</t>
  </si>
  <si>
    <t>입고수량을 입력하고 
예상 수수료를 알아보세요
 물류센터의 상품 실측 이후 요금은 달라질 수 있습니다.</t>
  </si>
  <si>
    <t>판매기간 2주 기준 추천된 수량이며, 판매자가 변경할 수 있습니다.</t>
  </si>
  <si>
    <t>입고수량 X 판매가</t>
  </si>
  <si>
    <t>일 단위로 입력</t>
  </si>
  <si>
    <t>상품별 기한이 다를 경우, 가장 빠른 날짜로 입력해 주세요.</t>
  </si>
  <si>
    <t>미입력시 쿠팡 바코드가 자동 생성되며, 상품마다 바코드를 출력해서 부착해야 합니다.</t>
  </si>
  <si>
    <t>상품 사이즈 분류 기준이 궁금하세요? 바로가기</t>
  </si>
  <si>
    <t>취급주의 상품(유리 제품, 칼, 페인트)에 해당할 시 표기해주세요.</t>
  </si>
  <si>
    <t>블랙 230</t>
  </si>
  <si>
    <t>19800</t>
  </si>
  <si>
    <t>로켓그로스</t>
  </si>
  <si>
    <t>선택입력</t>
  </si>
  <si>
    <t>해당아님</t>
  </si>
  <si>
    <t>여성뮬/슬리퍼형샌들</t>
  </si>
  <si>
    <t>비병행수입</t>
  </si>
  <si>
    <t>과세</t>
  </si>
  <si>
    <t>블랙 235</t>
  </si>
  <si>
    <t>Small</t>
  </si>
  <si>
    <t>블랙 240</t>
  </si>
  <si>
    <t>블랙 245</t>
  </si>
  <si>
    <t>블랙 250</t>
  </si>
  <si>
    <t>베이지 230</t>
  </si>
  <si>
    <t>베이지 235</t>
  </si>
  <si>
    <t>베이지 245</t>
  </si>
  <si>
    <t>베이지 250</t>
  </si>
  <si>
    <t>화이트 230</t>
  </si>
  <si>
    <t>화이트 235</t>
  </si>
  <si>
    <t>화이트 240</t>
  </si>
  <si>
    <t>화이트 245</t>
  </si>
  <si>
    <t>화이트 250</t>
  </si>
  <si>
    <t>28500</t>
  </si>
  <si>
    <t>여성로퍼</t>
  </si>
  <si>
    <t>블랙 225</t>
  </si>
  <si>
    <t>블랙 255</t>
  </si>
  <si>
    <t>블랙 260</t>
  </si>
  <si>
    <t>블랙 265</t>
  </si>
  <si>
    <t>베이지 225</t>
  </si>
  <si>
    <t>베이지 255</t>
  </si>
  <si>
    <t>베이지 260</t>
  </si>
  <si>
    <t>베이지 265</t>
  </si>
  <si>
    <t>29800</t>
  </si>
  <si>
    <t>여성슬링백</t>
  </si>
  <si>
    <t>화이트 255</t>
  </si>
  <si>
    <t>화이트 265</t>
  </si>
  <si>
    <t>여성블로퍼</t>
  </si>
  <si>
    <t>32800</t>
  </si>
  <si>
    <t>여성앵클부츠</t>
  </si>
  <si>
    <t>28800</t>
  </si>
  <si>
    <t>21800</t>
  </si>
  <si>
    <t>여성일반/사무용슬리퍼</t>
  </si>
  <si>
    <t>수_A76_로웰</t>
  </si>
  <si>
    <t>6874685732</t>
  </si>
  <si>
    <t>13652398681</t>
  </si>
  <si>
    <t>83647786494</t>
  </si>
  <si>
    <t>S0024914486721</t>
  </si>
  <si>
    <t>수_6063_위트니</t>
  </si>
  <si>
    <t>26800</t>
  </si>
  <si>
    <t>6870123487</t>
  </si>
  <si>
    <t>13648056106</t>
  </si>
  <si>
    <t>여성스트랩샌들</t>
  </si>
  <si>
    <t>브라운 255</t>
  </si>
  <si>
    <t>83622793076</t>
  </si>
  <si>
    <t>S0024887568839</t>
  </si>
  <si>
    <t>27300</t>
  </si>
  <si>
    <t>수_7-22_블랑카뮬</t>
  </si>
  <si>
    <t>28400</t>
  </si>
  <si>
    <t>6855868928</t>
  </si>
  <si>
    <t>13630882807</t>
  </si>
  <si>
    <t>실버 235</t>
  </si>
  <si>
    <t>83541490561</t>
  </si>
  <si>
    <t>S0024782192317</t>
  </si>
  <si>
    <t>실버 240</t>
  </si>
  <si>
    <t>83541490578</t>
  </si>
  <si>
    <t>S0024782192318</t>
  </si>
  <si>
    <t>수_7050_포코린7cm</t>
  </si>
  <si>
    <t>6850354239</t>
  </si>
  <si>
    <t>13625868722</t>
  </si>
  <si>
    <t>83509624457</t>
  </si>
  <si>
    <t>S0024749832788</t>
  </si>
  <si>
    <t>83509624612</t>
  </si>
  <si>
    <t>S0024749832812</t>
  </si>
  <si>
    <t>수_5035_포코린5cm</t>
  </si>
  <si>
    <t>6850351782</t>
  </si>
  <si>
    <t>13625307987</t>
  </si>
  <si>
    <t>83509608132</t>
  </si>
  <si>
    <t>S0024746975982</t>
  </si>
  <si>
    <t>83509608145</t>
  </si>
  <si>
    <t>S0024746975983</t>
  </si>
  <si>
    <t>수_7068_트루디</t>
  </si>
  <si>
    <t>27800</t>
  </si>
  <si>
    <t>6842303418</t>
  </si>
  <si>
    <t>13619931021</t>
  </si>
  <si>
    <t>83466882382</t>
  </si>
  <si>
    <t>S0024717098378</t>
  </si>
  <si>
    <t>발편한 베이직 스판 슬림핏 앵클 여성 부츠</t>
  </si>
  <si>
    <t>36100</t>
  </si>
  <si>
    <t>6840732990</t>
  </si>
  <si>
    <t>13618338242</t>
  </si>
  <si>
    <t>83458632581</t>
  </si>
  <si>
    <t>S0024708192150</t>
  </si>
  <si>
    <t>83458632592</t>
  </si>
  <si>
    <t>S0024708192151</t>
  </si>
  <si>
    <t>83458632600</t>
  </si>
  <si>
    <t>S0024708192152</t>
  </si>
  <si>
    <t>수_w87283_테일러화이트</t>
  </si>
  <si>
    <t>6840701120</t>
  </si>
  <si>
    <t>13618306898</t>
  </si>
  <si>
    <t>83458502366</t>
  </si>
  <si>
    <t>S0024708052259</t>
  </si>
  <si>
    <t>83458502375</t>
  </si>
  <si>
    <t>S0024708052260</t>
  </si>
  <si>
    <t>83458502384</t>
  </si>
  <si>
    <t>S0024708052261</t>
  </si>
  <si>
    <t>83458502394</t>
  </si>
  <si>
    <t>S0024708052262</t>
  </si>
  <si>
    <t>수_7069_체리시</t>
  </si>
  <si>
    <t>6839126434</t>
  </si>
  <si>
    <t>13616108418</t>
  </si>
  <si>
    <t>83450519078</t>
  </si>
  <si>
    <t>S0024695686449</t>
  </si>
  <si>
    <t>여성웨지샌들</t>
  </si>
  <si>
    <t>수_562_코엘5cm</t>
  </si>
  <si>
    <t>6836121954</t>
  </si>
  <si>
    <t>13613970047</t>
  </si>
  <si>
    <t>83435359198</t>
  </si>
  <si>
    <t>S0024683376528</t>
  </si>
  <si>
    <t>83435359213</t>
  </si>
  <si>
    <t>S0024683376530</t>
  </si>
  <si>
    <t>✔ 엑셀 일괄 입고요청 안내
1. 입고할 수량
- 1~5,000사이의 정수로 입력해주세요. 유효하지 않은 수/미기입 시 입고요청 상품 리스트에서 자동 누락됩니다.
2. 유통기한(소비기한)/제조일자/생산년도
- 실물에 유통기한이 표기된 상품인 경우 반드시 정확한 일자를 입력해 주시기 바랍니다. 카테고리별 필수 기입 항목이 다를 수 있습니다.
- 실물에 유통기한이 존재하나 입력불필요 처리되어있는 경우 입고하지 마시고 로켓그로스 담당자에게 연락해 주십시오. 아무런 조치없이 그대로 입고 시 회송됩니다.
- 작성양식: 유통(소비)기한/제조일자: YYYY-MM-DD, 생산년도: YYYY (예: 유통기한/제조일자 2021-08-12, 생산년도 2021)
2. 업로드 위치 및 주의사항
- 필수 입력사항을 모두 입력하여, [입고 요청하기] 페이지의 [엑셀업로드] 영역에서 파일을 업로드해 주세요.
- 동일상품 중복 입력 시: 우선 입력된 상품(옵션)의 정보로 자동 적용됩니다. (예: 1번,7번에 같은 옵션 ID에 대한 정보가 있을 경우, 1번에 입력된 정보로 반영)
- 엑셀 재업로드 시: 기존의 데이터는 삭제되고, 최종 업로드된 엑셀의 상품 리스트로 자동 적용됩니다.
- 옵션은 최대 200개까지 업로드 가능합니다. 200개 이상 입력된 파일 업로드 시 오류가 발생합니다.
- 이미 입고한 상품의 경우 정보를 변경하여도 반영되지 않습니다.</t>
  </si>
  <si>
    <t>✔유의사항
- 본 자료는 판매자님의 이해를 돕기 위하여 참고용으로 마련되었습니다. 
- 본 자료에 포함된 정보는 당사의 영업비밀에 해당하므로, 제공된 목적 외로 제3자에게 공유하거나 유출하지 않도록 각별히 주의하시기 바랍니다. 
- 또한, 실제로 판매되는 수량, 매출액 등을 보장하지 않으며, 서비스 이용료 및 비용은 판매자님이 입력하는 입고수량을 기준으로 계산한 것이므로 실제로 부과되는 비용과 다를 수 있습니다. 
- 본 자료는 판매자님이 엑셀을 다운로드하는 시점에 Wing에 등록된 판매 정보(가격 등)가 반영되어 있습니다. Wing에 등록된 판매 정보의 변경 및 엑셀을 다운로드하는 시점에 따라 본 자료의 정보도 달라질 수 있습니다.
- 엑셀 내에서는 가격을 포함한 상품의 판매 정보 수정이 불가합니다. 수정이 필요한 경우에는 WING [상품 조회/수정 페이지] 및 가격 수정 페이지에서 직접 수정하여 주시기 바랍니다. 
- 판매자배송 상품으로 바로 엑셀 일괄 입고요청을 한 경우, 엑셀을 업로드 하고 난 뒤 [다음]을 누르면 판매자배송 등록상품 ID 하위에 로켓그로스 옵션ID가 생성됩니다. [상품 조회 및 수정] 페이지에서 확인해주세요.
- 판매자배송 상품을 처음 입고요청한 경우, 재고를 쿠팡풀필먼트센터에 입고가 완료되기 전까지 판매가 이루어지지 않습니다. 입고요청 후에 반드시 재고를 쿠팡풀필먼트센터로 보내주세요.
- 바코드, 유통기간, 상품 크기와 중량 등의 물류정보를 변경하고 싶으신 경우, WING [상품 조회 및 수정]에서 등록상품ID를 검색하여 수정하여 주시기 바랍니다. 쿠팡풀필먼트센터에 도착 한 뒤에는 수정이 불가하니, 참고해주시기 바랍니다.</t>
  </si>
  <si>
    <t>수_7029_로즈온엑스자</t>
  </si>
  <si>
    <t>수_60052_마키드</t>
  </si>
  <si>
    <t>수_5041_멜리사</t>
  </si>
  <si>
    <t>수_n5013_로븐</t>
  </si>
  <si>
    <t>수_5058_아만다</t>
  </si>
  <si>
    <t>수_4015_리디카</t>
  </si>
  <si>
    <t>수_6065_필리스</t>
  </si>
  <si>
    <t>수_6064_엘렌</t>
  </si>
  <si>
    <t>수_6061_라비나</t>
  </si>
  <si>
    <t>수_5064_소피아</t>
  </si>
  <si>
    <t>수_30059_미라클</t>
  </si>
  <si>
    <t>수_N5-4_마들린</t>
  </si>
  <si>
    <t>수_30048_라즐리</t>
  </si>
  <si>
    <t>수_7066_라미스</t>
  </si>
  <si>
    <t>수_580-8_오드리</t>
  </si>
  <si>
    <t>수_7067_달린</t>
  </si>
  <si>
    <t>수_3004TC_릴리</t>
  </si>
  <si>
    <t>수_N2-1_모민</t>
  </si>
  <si>
    <t>수_3001_케일3cm</t>
  </si>
  <si>
    <t>수_5007</t>
  </si>
  <si>
    <t>수_5043</t>
  </si>
  <si>
    <t>수_5042TC</t>
  </si>
  <si>
    <t>와인 245</t>
  </si>
  <si>
    <t>블랙 에나멜 250</t>
  </si>
  <si>
    <t>핑크베이지 255</t>
  </si>
  <si>
    <t>핑크베이지 260</t>
  </si>
  <si>
    <t>아이보리 265</t>
  </si>
  <si>
    <t>카멜 230</t>
  </si>
  <si>
    <t>카멜 245</t>
  </si>
  <si>
    <t>카멜 265</t>
  </si>
  <si>
    <t>다크 브라운 240</t>
  </si>
  <si>
    <t>다크 브라운 255</t>
  </si>
  <si>
    <t>블랙 에나멜 265</t>
  </si>
  <si>
    <t>아프리코트 240</t>
  </si>
  <si>
    <t>아프리코트 245</t>
  </si>
  <si>
    <t>26500</t>
  </si>
  <si>
    <t>34800</t>
  </si>
  <si>
    <t>32200</t>
  </si>
  <si>
    <t>33800</t>
  </si>
  <si>
    <t>31500</t>
  </si>
  <si>
    <t>34270</t>
  </si>
  <si>
    <t>30800</t>
  </si>
  <si>
    <t>34400</t>
  </si>
  <si>
    <t>24500</t>
  </si>
  <si>
    <t>24200</t>
  </si>
  <si>
    <t>31800</t>
  </si>
  <si>
    <t>27400</t>
  </si>
  <si>
    <t>33190</t>
  </si>
  <si>
    <t>39800</t>
  </si>
  <si>
    <t>34070</t>
  </si>
  <si>
    <t>32460</t>
  </si>
  <si>
    <t>13613485055</t>
  </si>
  <si>
    <t>13603173420</t>
  </si>
  <si>
    <t>13586342809</t>
  </si>
  <si>
    <t>13586059117</t>
  </si>
  <si>
    <t>13575164630</t>
  </si>
  <si>
    <t>13574507277</t>
  </si>
  <si>
    <t>13570400899</t>
  </si>
  <si>
    <t>13569751133</t>
  </si>
  <si>
    <t>13542453839</t>
  </si>
  <si>
    <t>13541702733</t>
  </si>
  <si>
    <t>13540136832</t>
  </si>
  <si>
    <t>13539926697</t>
  </si>
  <si>
    <t>13537833642</t>
  </si>
  <si>
    <t>13537676176</t>
  </si>
  <si>
    <t>13532390995</t>
  </si>
  <si>
    <t>13530249583</t>
  </si>
  <si>
    <t>13525548189</t>
  </si>
  <si>
    <t>13525417110</t>
  </si>
  <si>
    <t>13513556291</t>
  </si>
  <si>
    <t>13510429771</t>
  </si>
  <si>
    <t>13500433569</t>
  </si>
  <si>
    <t>13498836830</t>
  </si>
  <si>
    <t>13316600960</t>
  </si>
  <si>
    <t>13315357631</t>
  </si>
  <si>
    <t>13315106644</t>
  </si>
  <si>
    <t>6835620999</t>
  </si>
  <si>
    <t>6826955253</t>
  </si>
  <si>
    <t>6807473653</t>
  </si>
  <si>
    <t>6808139200</t>
  </si>
  <si>
    <t>6795879438</t>
  </si>
  <si>
    <t>6795174369</t>
  </si>
  <si>
    <t>6790087572</t>
  </si>
  <si>
    <t>6761436184</t>
  </si>
  <si>
    <t>6761251874</t>
  </si>
  <si>
    <t>6760740275</t>
  </si>
  <si>
    <t>6760681987</t>
  </si>
  <si>
    <t>6756534015</t>
  </si>
  <si>
    <t>6756366769</t>
  </si>
  <si>
    <t>6750902858</t>
  </si>
  <si>
    <t>6748608158</t>
  </si>
  <si>
    <t>6743955081</t>
  </si>
  <si>
    <t>6746314579</t>
  </si>
  <si>
    <t>6740541489</t>
  </si>
  <si>
    <t>6728682615</t>
  </si>
  <si>
    <t>6718005229</t>
  </si>
  <si>
    <t>6716210009</t>
  </si>
  <si>
    <t>6547701658</t>
  </si>
  <si>
    <t>6537346068</t>
  </si>
  <si>
    <t>6537040943</t>
  </si>
  <si>
    <t>83435359261</t>
  </si>
  <si>
    <t>83435359284</t>
  </si>
  <si>
    <t>83432931750</t>
  </si>
  <si>
    <t>83391666467</t>
  </si>
  <si>
    <t>83291094503</t>
  </si>
  <si>
    <t>83294192283</t>
  </si>
  <si>
    <t>83228378970</t>
  </si>
  <si>
    <t>83228379009</t>
  </si>
  <si>
    <t>83228379151</t>
  </si>
  <si>
    <t>83225492397</t>
  </si>
  <si>
    <t>83207385293</t>
  </si>
  <si>
    <t>83207385474</t>
  </si>
  <si>
    <t>83200586730</t>
  </si>
  <si>
    <t>83057523375</t>
  </si>
  <si>
    <t>83056820661</t>
  </si>
  <si>
    <t>83056820678</t>
  </si>
  <si>
    <t>83056820731</t>
  </si>
  <si>
    <t>83056820783</t>
  </si>
  <si>
    <t>83044976755</t>
  </si>
  <si>
    <t>83054582735</t>
  </si>
  <si>
    <t>83032311575</t>
  </si>
  <si>
    <t>83031540848</t>
  </si>
  <si>
    <t>83031540866</t>
  </si>
  <si>
    <t>83031540923</t>
  </si>
  <si>
    <t>83031540953</t>
  </si>
  <si>
    <t>83001059135</t>
  </si>
  <si>
    <t>83001059148</t>
  </si>
  <si>
    <t>82989066390</t>
  </si>
  <si>
    <t>82989066449</t>
  </si>
  <si>
    <t>82965634078</t>
  </si>
  <si>
    <t>82965087287</t>
  </si>
  <si>
    <t>82902941718</t>
  </si>
  <si>
    <t>82887190609</t>
  </si>
  <si>
    <t>82887190682</t>
  </si>
  <si>
    <t>82835772744</t>
  </si>
  <si>
    <t>82826938056</t>
  </si>
  <si>
    <t>81789597000</t>
  </si>
  <si>
    <t>81789597089</t>
  </si>
  <si>
    <t>81789597123</t>
  </si>
  <si>
    <t>81789597132</t>
  </si>
  <si>
    <t>81789597219</t>
  </si>
  <si>
    <t>81789597230</t>
  </si>
  <si>
    <t>81789597243</t>
  </si>
  <si>
    <t>81789597266</t>
  </si>
  <si>
    <t>81783741942</t>
  </si>
  <si>
    <t>81783741990</t>
  </si>
  <si>
    <t>81783742079</t>
  </si>
  <si>
    <t>81783742134</t>
  </si>
  <si>
    <t>81783742171</t>
  </si>
  <si>
    <t>81782214893</t>
  </si>
  <si>
    <t>81782215064</t>
  </si>
  <si>
    <t>여성일반하이힐</t>
  </si>
  <si>
    <t>S0024680704481</t>
  </si>
  <si>
    <t>S0024454375920</t>
  </si>
  <si>
    <t>SOO8809798696776</t>
  </si>
  <si>
    <t>SOO8809798696783</t>
  </si>
  <si>
    <t>S0024262981742</t>
  </si>
  <si>
    <t>S0024624868641</t>
  </si>
  <si>
    <t>S0024451269450</t>
  </si>
  <si>
    <t>S0024011472603</t>
  </si>
  <si>
    <t>S0024076520501</t>
  </si>
  <si>
    <t>S0024076520493</t>
  </si>
  <si>
    <t>S0024234551777</t>
  </si>
  <si>
    <t>S0024234551762</t>
  </si>
  <si>
    <t>S0024234551764</t>
  </si>
  <si>
    <t>S0024234551783</t>
  </si>
  <si>
    <t>S0024423311592</t>
  </si>
  <si>
    <t>S0024522061275</t>
  </si>
  <si>
    <t>S0024426390882</t>
  </si>
  <si>
    <t>S0024426390901</t>
  </si>
  <si>
    <t>S0024235399139</t>
  </si>
  <si>
    <t>S0024683376541</t>
  </si>
  <si>
    <t>S0024683376545</t>
  </si>
  <si>
    <t>S0024160986742</t>
  </si>
  <si>
    <t>S0024523466804</t>
  </si>
  <si>
    <t>S0024248299205</t>
  </si>
  <si>
    <t>S0024249277769</t>
  </si>
  <si>
    <t>S0024259535270</t>
  </si>
  <si>
    <t>S0024259535274</t>
  </si>
  <si>
    <t>S0024259535280</t>
  </si>
  <si>
    <t>S0024259535285</t>
  </si>
  <si>
    <t>S0024161604506</t>
  </si>
  <si>
    <t>S0024093194652</t>
  </si>
  <si>
    <t>S0024020758344</t>
  </si>
  <si>
    <t>S0024454375912</t>
  </si>
  <si>
    <t>S0024454375941</t>
  </si>
  <si>
    <t>S0024200878525</t>
  </si>
  <si>
    <t>S0024200878528</t>
  </si>
  <si>
    <t>S0024187967609</t>
  </si>
  <si>
    <t>S0024187967619</t>
  </si>
  <si>
    <t>SOO8809798696585</t>
  </si>
  <si>
    <t>SOO8809798696653</t>
  </si>
  <si>
    <t>SOO8809798696684</t>
  </si>
  <si>
    <t>SOO8809798696691</t>
  </si>
  <si>
    <t>SOO8809798696790</t>
  </si>
  <si>
    <t>SOO8809798696813</t>
  </si>
  <si>
    <t>바코드 찍는곳</t>
    <phoneticPr fontId="6" type="noConversion"/>
  </si>
  <si>
    <t>바코드 중복제거</t>
    <phoneticPr fontId="6" type="noConversion"/>
  </si>
  <si>
    <t>입고 총 수량</t>
    <phoneticPr fontId="6" type="noConversion"/>
  </si>
  <si>
    <t>블랙 265</t>
    <phoneticPr fontId="6" type="noConversion"/>
  </si>
  <si>
    <t>여성슬링백</t>
    <phoneticPr fontId="4" type="noConversion"/>
  </si>
  <si>
    <t>수_30046-2_어텀민자</t>
  </si>
  <si>
    <t>블랙 255</t>
    <phoneticPr fontId="4" type="noConversion"/>
  </si>
  <si>
    <t>S0024506805419</t>
  </si>
  <si>
    <t>여성로퍼</t>
    <phoneticPr fontId="4" type="noConversion"/>
  </si>
  <si>
    <t>수_1537_카르멘</t>
  </si>
  <si>
    <t>수_w6019_에렌</t>
  </si>
  <si>
    <t>수_7012_제인</t>
  </si>
  <si>
    <t>수_N2-2_카라</t>
  </si>
  <si>
    <t>수_87283_테일러</t>
  </si>
  <si>
    <t>크림 245</t>
  </si>
  <si>
    <t>크림 250</t>
  </si>
  <si>
    <t>S0024550143934</t>
  </si>
  <si>
    <t>여성앵클부츠</t>
    <phoneticPr fontId="4" type="noConversion"/>
  </si>
  <si>
    <t>수_22756_베티</t>
  </si>
  <si>
    <t>S0024552955600</t>
  </si>
  <si>
    <t>S0029506207850</t>
  </si>
  <si>
    <t>수_703_에밀리</t>
  </si>
  <si>
    <t>8032375161</t>
  </si>
  <si>
    <t>14838690361</t>
  </si>
  <si>
    <t/>
  </si>
  <si>
    <t>0</t>
  </si>
  <si>
    <t>89507213004</t>
  </si>
  <si>
    <t>S0031452694336</t>
  </si>
  <si>
    <t>89507213096</t>
  </si>
  <si>
    <t>S0031452694351</t>
  </si>
  <si>
    <t>수_220_클레어</t>
  </si>
  <si>
    <t>32500</t>
  </si>
  <si>
    <t>8039833620</t>
  </si>
  <si>
    <t>14846717631</t>
  </si>
  <si>
    <t>89548334303</t>
  </si>
  <si>
    <t>S0031497294787</t>
  </si>
  <si>
    <t>수_503_셀레나</t>
  </si>
  <si>
    <t>8048784563</t>
  </si>
  <si>
    <t>14856512181</t>
  </si>
  <si>
    <t>89608605022</t>
  </si>
  <si>
    <t>S0031563416575</t>
  </si>
  <si>
    <t>89608605032</t>
  </si>
  <si>
    <t>S0031563416579</t>
  </si>
  <si>
    <t>89608605176</t>
  </si>
  <si>
    <t>S0031563416588</t>
  </si>
  <si>
    <t>수_A78_디아나</t>
  </si>
  <si>
    <t>19900</t>
  </si>
  <si>
    <t>8103395693</t>
  </si>
  <si>
    <t>14915692925</t>
  </si>
  <si>
    <t>89964535663</t>
  </si>
  <si>
    <t>S0031952342921</t>
  </si>
  <si>
    <t>89964535696</t>
  </si>
  <si>
    <t>S0031952342924</t>
  </si>
  <si>
    <t>수_z8005_클로인</t>
  </si>
  <si>
    <t>수_z8004_블란체</t>
  </si>
  <si>
    <t>수_z8002_케이트</t>
  </si>
  <si>
    <t>14521690373</t>
  </si>
  <si>
    <t>14521679749</t>
  </si>
  <si>
    <t>14521661239</t>
  </si>
  <si>
    <t>91327524087</t>
  </si>
  <si>
    <t>91327524074</t>
  </si>
  <si>
    <t>91327524046</t>
  </si>
  <si>
    <t>91327524032</t>
  </si>
  <si>
    <t>91327638041</t>
  </si>
  <si>
    <t>91327638019</t>
  </si>
  <si>
    <t>91327656605</t>
  </si>
  <si>
    <t>91327656598</t>
  </si>
  <si>
    <t>91327656591</t>
  </si>
  <si>
    <t>91327656580</t>
  </si>
  <si>
    <t>여성롱부츠</t>
    <phoneticPr fontId="4" type="noConversion"/>
  </si>
  <si>
    <t>수_엘로디_SH5002</t>
    <phoneticPr fontId="4" type="noConversion"/>
  </si>
  <si>
    <t>블랙스웨이드 230</t>
    <phoneticPr fontId="4" type="noConversion"/>
  </si>
  <si>
    <t>블랙스웨이드 245</t>
  </si>
  <si>
    <t>블랙스웨이드 250</t>
  </si>
  <si>
    <t>더_윌로우_0827</t>
    <phoneticPr fontId="4" type="noConversion"/>
  </si>
  <si>
    <t>블랙 245</t>
    <phoneticPr fontId="4" type="noConversion"/>
  </si>
  <si>
    <t>블랙 250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</si>
</sst>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yyyy\-mm\-dd"/>
    <numFmt numFmtId="177" formatCode="0;[Red]0"/>
    <numFmt numFmtId="178" formatCode="0_);[Red]\(0\)"/>
    <numFmt numFmtId="179" formatCode="#,###"/>
    <numFmt numFmtId="180" formatCode="#,###.##"/>
  </numFmts>
  <fonts count="31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color indexed="8"/>
      <name val="나눔고딕"/>
      <family val="3"/>
      <charset val="129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ajor"/>
    </font>
    <font>
      <sz val="12"/>
      <color indexed="8"/>
      <name val="맑은 고딕"/>
      <family val="3"/>
      <charset val="129"/>
      <scheme val="major"/>
    </font>
    <font>
      <sz val="11"/>
      <name val="나눔고딕"/>
      <charset val="129"/>
    </font>
    <font>
      <b/>
      <sz val="12"/>
      <name val="나눔고딕"/>
      <charset val="129"/>
    </font>
    <font>
      <b/>
      <sz val="18"/>
      <name val="나눔고딕"/>
      <charset val="129"/>
    </font>
    <font>
      <sz val="12"/>
      <name val="나눔고딕"/>
      <charset val="129"/>
    </font>
    <font>
      <sz val="11"/>
      <color rgb="FF000000"/>
      <name val="맑은 고딕"/>
      <family val="3"/>
      <charset val="129"/>
      <scheme val="minor"/>
    </font>
  </fonts>
  <fills count="43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12"/>
      </patternFill>
    </fill>
    <fill>
      <patternFill patternType="solid">
        <fgColor indexed="10"/>
      </patternFill>
    </fill>
    <fill>
      <patternFill patternType="solid">
        <fgColor indexed="52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E7EEF9"/>
      </patternFill>
    </fill>
    <fill>
      <patternFill patternType="none"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8">
    <xf numFmtId="0" fontId="0" fillId="0" borderId="0">
      <alignment vertical="center"/>
    </xf>
    <xf numFmtId="0" fontId="2" fillId="11" borderId="1">
      <alignment vertical="center"/>
    </xf>
    <xf numFmtId="0" fontId="5" fillId="11" borderId="1"/>
    <xf numFmtId="0" fontId="7" fillId="11" borderId="1">
      <alignment vertical="center"/>
    </xf>
    <xf numFmtId="0" fontId="7" fillId="11" borderId="1">
      <alignment vertical="center"/>
    </xf>
    <xf numFmtId="0" fontId="7" fillId="11" borderId="1">
      <alignment vertical="center"/>
    </xf>
    <xf numFmtId="0" fontId="15" fillId="1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9" fillId="17" borderId="11" applyNumberFormat="0" applyAlignment="0" applyProtection="0">
      <alignment vertical="center"/>
    </xf>
    <xf numFmtId="0" fontId="1" fillId="11" borderId="1">
      <alignment vertical="center"/>
    </xf>
    <xf numFmtId="0" fontId="8" fillId="11" borderId="1" applyNumberFormat="0" applyFill="0" applyBorder="0" applyAlignment="0" applyProtection="0">
      <alignment vertical="center"/>
    </xf>
    <xf numFmtId="0" fontId="9" fillId="11" borderId="5" applyNumberFormat="0" applyFill="0" applyAlignment="0" applyProtection="0">
      <alignment vertical="center"/>
    </xf>
    <xf numFmtId="0" fontId="10" fillId="11" borderId="6" applyNumberFormat="0" applyFill="0" applyAlignment="0" applyProtection="0">
      <alignment vertical="center"/>
    </xf>
    <xf numFmtId="0" fontId="11" fillId="11" borderId="7" applyNumberFormat="0" applyFill="0" applyAlignment="0" applyProtection="0">
      <alignment vertical="center"/>
    </xf>
    <xf numFmtId="0" fontId="11" fillId="11" borderId="1" applyNumberFormat="0" applyFill="0" applyBorder="0" applyAlignment="0" applyProtection="0">
      <alignment vertical="center"/>
    </xf>
    <xf numFmtId="0" fontId="12" fillId="13" borderId="1" applyNumberFormat="0" applyBorder="0" applyAlignment="0" applyProtection="0">
      <alignment vertical="center"/>
    </xf>
    <xf numFmtId="0" fontId="13" fillId="14" borderId="1" applyNumberFormat="0" applyBorder="0" applyAlignment="0" applyProtection="0">
      <alignment vertical="center"/>
    </xf>
    <xf numFmtId="0" fontId="14" fillId="15" borderId="1" applyNumberFormat="0" applyBorder="0" applyAlignment="0" applyProtection="0">
      <alignment vertical="center"/>
    </xf>
    <xf numFmtId="0" fontId="18" fillId="11" borderId="10" applyNumberFormat="0" applyFill="0" applyAlignment="0" applyProtection="0">
      <alignment vertical="center"/>
    </xf>
    <xf numFmtId="0" fontId="20" fillId="11" borderId="1" applyNumberFormat="0" applyFill="0" applyBorder="0" applyAlignment="0" applyProtection="0">
      <alignment vertical="center"/>
    </xf>
    <xf numFmtId="0" fontId="1" fillId="18" borderId="12" applyNumberFormat="0" applyFont="0" applyAlignment="0" applyProtection="0">
      <alignment vertical="center"/>
    </xf>
    <xf numFmtId="0" fontId="21" fillId="11" borderId="1" applyNumberFormat="0" applyFill="0" applyBorder="0" applyAlignment="0" applyProtection="0">
      <alignment vertical="center"/>
    </xf>
    <xf numFmtId="0" fontId="22" fillId="11" borderId="13" applyNumberFormat="0" applyFill="0" applyAlignment="0" applyProtection="0">
      <alignment vertical="center"/>
    </xf>
    <xf numFmtId="0" fontId="23" fillId="19" borderId="1" applyNumberFormat="0" applyBorder="0" applyAlignment="0" applyProtection="0">
      <alignment vertical="center"/>
    </xf>
    <xf numFmtId="0" fontId="1" fillId="20" borderId="1" applyNumberFormat="0" applyBorder="0" applyAlignment="0" applyProtection="0">
      <alignment vertical="center"/>
    </xf>
    <xf numFmtId="0" fontId="1" fillId="21" borderId="1" applyNumberFormat="0" applyBorder="0" applyAlignment="0" applyProtection="0">
      <alignment vertical="center"/>
    </xf>
    <xf numFmtId="0" fontId="23" fillId="22" borderId="1" applyNumberFormat="0" applyBorder="0" applyAlignment="0" applyProtection="0">
      <alignment vertical="center"/>
    </xf>
    <xf numFmtId="0" fontId="23" fillId="23" borderId="1" applyNumberFormat="0" applyBorder="0" applyAlignment="0" applyProtection="0">
      <alignment vertical="center"/>
    </xf>
    <xf numFmtId="0" fontId="1" fillId="24" borderId="1" applyNumberFormat="0" applyBorder="0" applyAlignment="0" applyProtection="0">
      <alignment vertical="center"/>
    </xf>
    <xf numFmtId="0" fontId="1" fillId="25" borderId="1" applyNumberFormat="0" applyBorder="0" applyAlignment="0" applyProtection="0">
      <alignment vertical="center"/>
    </xf>
    <xf numFmtId="0" fontId="23" fillId="26" borderId="1" applyNumberFormat="0" applyBorder="0" applyAlignment="0" applyProtection="0">
      <alignment vertical="center"/>
    </xf>
    <xf numFmtId="0" fontId="23" fillId="27" borderId="1" applyNumberFormat="0" applyBorder="0" applyAlignment="0" applyProtection="0">
      <alignment vertical="center"/>
    </xf>
    <xf numFmtId="0" fontId="1" fillId="28" borderId="1" applyNumberFormat="0" applyBorder="0" applyAlignment="0" applyProtection="0">
      <alignment vertical="center"/>
    </xf>
    <xf numFmtId="0" fontId="1" fillId="29" borderId="1" applyNumberFormat="0" applyBorder="0" applyAlignment="0" applyProtection="0">
      <alignment vertical="center"/>
    </xf>
    <xf numFmtId="0" fontId="23" fillId="30" borderId="1" applyNumberFormat="0" applyBorder="0" applyAlignment="0" applyProtection="0">
      <alignment vertical="center"/>
    </xf>
    <xf numFmtId="0" fontId="23" fillId="31" borderId="1" applyNumberFormat="0" applyBorder="0" applyAlignment="0" applyProtection="0">
      <alignment vertical="center"/>
    </xf>
    <xf numFmtId="0" fontId="1" fillId="32" borderId="1" applyNumberFormat="0" applyBorder="0" applyAlignment="0" applyProtection="0">
      <alignment vertical="center"/>
    </xf>
    <xf numFmtId="0" fontId="1" fillId="33" borderId="1" applyNumberFormat="0" applyBorder="0" applyAlignment="0" applyProtection="0">
      <alignment vertical="center"/>
    </xf>
    <xf numFmtId="0" fontId="23" fillId="34" borderId="1" applyNumberFormat="0" applyBorder="0" applyAlignment="0" applyProtection="0">
      <alignment vertical="center"/>
    </xf>
    <xf numFmtId="0" fontId="23" fillId="35" borderId="1" applyNumberFormat="0" applyBorder="0" applyAlignment="0" applyProtection="0">
      <alignment vertical="center"/>
    </xf>
    <xf numFmtId="0" fontId="1" fillId="36" borderId="1" applyNumberFormat="0" applyBorder="0" applyAlignment="0" applyProtection="0">
      <alignment vertical="center"/>
    </xf>
    <xf numFmtId="0" fontId="1" fillId="37" borderId="1" applyNumberFormat="0" applyBorder="0" applyAlignment="0" applyProtection="0">
      <alignment vertical="center"/>
    </xf>
    <xf numFmtId="0" fontId="23" fillId="38" borderId="1" applyNumberFormat="0" applyBorder="0" applyAlignment="0" applyProtection="0">
      <alignment vertical="center"/>
    </xf>
    <xf numFmtId="0" fontId="23" fillId="39" borderId="1" applyNumberFormat="0" applyBorder="0" applyAlignment="0" applyProtection="0">
      <alignment vertical="center"/>
    </xf>
    <xf numFmtId="0" fontId="1" fillId="40" borderId="1" applyNumberFormat="0" applyBorder="0" applyAlignment="0" applyProtection="0">
      <alignment vertical="center"/>
    </xf>
    <xf numFmtId="0" fontId="1" fillId="41" borderId="1" applyNumberFormat="0" applyBorder="0" applyAlignment="0" applyProtection="0">
      <alignment vertical="center"/>
    </xf>
    <xf numFmtId="0" fontId="23" fillId="42" borderId="1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177" fontId="24" fillId="12" borderId="2" xfId="0" applyNumberFormat="1" applyFont="1" applyFill="1" applyBorder="1">
      <alignment vertical="center"/>
    </xf>
    <xf numFmtId="0" fontId="24" fillId="12" borderId="2" xfId="0" applyFont="1" applyFill="1" applyBorder="1">
      <alignment vertical="center"/>
    </xf>
    <xf numFmtId="0" fontId="25" fillId="0" borderId="0" xfId="0" applyFont="1">
      <alignment vertical="center"/>
    </xf>
    <xf numFmtId="177" fontId="25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7" fillId="2" borderId="2" xfId="0" applyFont="1" applyFill="1" applyBorder="1" applyAlignment="1">
      <alignment horizontal="center" vertical="center" wrapText="1"/>
    </xf>
    <xf numFmtId="0" fontId="29" fillId="7" borderId="2" xfId="0" applyFont="1" applyFill="1" applyBorder="1" applyAlignment="1">
      <alignment horizontal="center" vertical="center" wrapText="1"/>
    </xf>
    <xf numFmtId="0" fontId="29" fillId="8" borderId="2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178" fontId="29" fillId="8" borderId="2" xfId="0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 applyProtection="1">
      <alignment horizontal="center" vertical="center" wrapText="1"/>
      <protection hidden="1"/>
    </xf>
    <xf numFmtId="0" fontId="29" fillId="10" borderId="14" xfId="0" applyFont="1" applyFill="1" applyBorder="1" applyAlignment="1">
      <alignment horizontal="center" vertical="center" wrapText="1"/>
    </xf>
    <xf numFmtId="178" fontId="29" fillId="10" borderId="14" xfId="0" applyNumberFormat="1" applyFont="1" applyFill="1" applyBorder="1" applyAlignment="1">
      <alignment horizontal="center" vertical="center" wrapText="1"/>
    </xf>
    <xf numFmtId="0" fontId="29" fillId="10" borderId="1" xfId="0" applyFont="1" applyFill="1" applyBorder="1" applyAlignment="1">
      <alignment horizontal="center" vertical="center" wrapText="1"/>
    </xf>
    <xf numFmtId="0" fontId="29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 wrapText="1"/>
    </xf>
    <xf numFmtId="176" fontId="29" fillId="0" borderId="2" xfId="0" applyNumberFormat="1" applyFont="1" applyBorder="1" applyAlignment="1" applyProtection="1">
      <alignment horizontal="center" vertical="center" wrapText="1"/>
      <protection locked="0"/>
    </xf>
    <xf numFmtId="178" fontId="29" fillId="0" borderId="2" xfId="0" applyNumberFormat="1" applyFont="1" applyBorder="1" applyAlignment="1">
      <alignment horizontal="center" vertical="center"/>
    </xf>
    <xf numFmtId="0" fontId="29" fillId="0" borderId="2" xfId="0" applyFont="1" applyBorder="1" applyAlignment="1" applyProtection="1">
      <alignment horizontal="center" vertical="center" wrapText="1"/>
      <protection locked="0"/>
    </xf>
    <xf numFmtId="0" fontId="29" fillId="0" borderId="2" xfId="2" applyFont="1" applyFill="1" applyBorder="1" applyAlignment="1">
      <alignment horizontal="center" vertical="center" wrapText="1"/>
    </xf>
    <xf numFmtId="0" fontId="29" fillId="0" borderId="2" xfId="4" applyFont="1" applyFill="1" applyBorder="1" applyAlignment="1">
      <alignment horizontal="center" vertical="center" wrapText="1"/>
    </xf>
    <xf numFmtId="179" fontId="29" fillId="0" borderId="2" xfId="4" applyNumberFormat="1" applyFont="1" applyFill="1" applyBorder="1" applyAlignment="1">
      <alignment horizontal="center" vertical="center" wrapText="1"/>
    </xf>
    <xf numFmtId="180" fontId="29" fillId="0" borderId="2" xfId="4" applyNumberFormat="1" applyFont="1" applyFill="1" applyBorder="1" applyAlignment="1">
      <alignment horizontal="center" vertical="center" wrapText="1"/>
    </xf>
    <xf numFmtId="180" fontId="29" fillId="0" borderId="2" xfId="4" applyNumberFormat="1" applyFont="1" applyFill="1" applyBorder="1" applyAlignment="1" applyProtection="1">
      <alignment horizontal="center" vertical="center" wrapText="1"/>
      <protection locked="0"/>
    </xf>
    <xf numFmtId="0" fontId="29" fillId="0" borderId="2" xfId="4" applyFont="1" applyFill="1" applyBorder="1" applyAlignment="1" applyProtection="1">
      <alignment horizontal="center" vertical="center" wrapText="1"/>
      <protection locked="0"/>
    </xf>
    <xf numFmtId="176" fontId="29" fillId="0" borderId="2" xfId="4" applyNumberFormat="1" applyFont="1" applyFill="1" applyBorder="1" applyAlignment="1" applyProtection="1">
      <alignment horizontal="center" vertical="center" wrapText="1"/>
      <protection locked="0"/>
    </xf>
    <xf numFmtId="178" fontId="29" fillId="0" borderId="2" xfId="4" applyNumberFormat="1" applyFont="1" applyFill="1" applyBorder="1" applyAlignment="1" applyProtection="1">
      <alignment horizontal="center" vertical="center" wrapText="1"/>
      <protection locked="0"/>
    </xf>
    <xf numFmtId="179" fontId="29" fillId="0" borderId="2" xfId="0" applyNumberFormat="1" applyFont="1" applyBorder="1" applyAlignment="1">
      <alignment horizontal="center" vertical="center" wrapText="1"/>
    </xf>
    <xf numFmtId="180" fontId="29" fillId="0" borderId="2" xfId="0" applyNumberFormat="1" applyFont="1" applyBorder="1" applyAlignment="1">
      <alignment horizontal="center" vertical="center" wrapText="1"/>
    </xf>
    <xf numFmtId="180" fontId="29" fillId="0" borderId="2" xfId="0" applyNumberFormat="1" applyFont="1" applyBorder="1" applyAlignment="1" applyProtection="1">
      <alignment horizontal="center" vertical="center" wrapText="1"/>
      <protection locked="0"/>
    </xf>
    <xf numFmtId="178" fontId="29" fillId="0" borderId="2" xfId="0" applyNumberFormat="1" applyFont="1" applyBorder="1" applyAlignment="1" applyProtection="1">
      <alignment horizontal="center" vertical="center" wrapText="1"/>
      <protection locked="0"/>
    </xf>
    <xf numFmtId="3" fontId="29" fillId="0" borderId="2" xfId="0" applyNumberFormat="1" applyFont="1" applyBorder="1" applyAlignment="1">
      <alignment horizontal="center"/>
    </xf>
    <xf numFmtId="178" fontId="29" fillId="0" borderId="2" xfId="10" applyNumberFormat="1" applyFont="1" applyFill="1" applyBorder="1" applyAlignment="1">
      <alignment horizontal="center" vertical="center"/>
    </xf>
    <xf numFmtId="178" fontId="26" fillId="0" borderId="0" xfId="0" applyNumberFormat="1" applyFont="1">
      <alignment vertical="center"/>
    </xf>
    <xf numFmtId="0" fontId="27" fillId="0" borderId="2" xfId="0" applyFont="1" applyBorder="1" applyAlignment="1">
      <alignment horizontal="left" vertical="center" wrapText="1"/>
    </xf>
    <xf numFmtId="0" fontId="26" fillId="11" borderId="3" xfId="0" applyFont="1" applyFill="1" applyBorder="1" applyAlignment="1"/>
    <xf numFmtId="0" fontId="26" fillId="11" borderId="4" xfId="0" applyFont="1" applyFill="1" applyBorder="1" applyAlignment="1"/>
    <xf numFmtId="0" fontId="28" fillId="4" borderId="2" xfId="0" applyFont="1" applyFill="1" applyBorder="1" applyAlignment="1">
      <alignment horizontal="center" vertical="center" wrapText="1"/>
    </xf>
    <xf numFmtId="0" fontId="28" fillId="5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left" vertical="center" wrapText="1"/>
    </xf>
    <xf numFmtId="0" fontId="27" fillId="2" borderId="2" xfId="0" applyFont="1" applyFill="1" applyBorder="1" applyAlignment="1">
      <alignment horizontal="center" vertical="center" wrapText="1"/>
    </xf>
    <xf numFmtId="0" fontId="27" fillId="6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0" fillId="11" borderId="3" xfId="0" applyFill="1" applyBorder="1" applyAlignment="1"/>
    <xf numFmtId="0" fontId="0" fillId="11" borderId="4" xfId="0" applyFill="1" applyBorder="1" applyAlignment="1"/>
    <xf numFmtId="178" fontId="30" fillId="0" borderId="1" xfId="0" applyNumberFormat="1" applyFont="1" applyBorder="1">
      <alignment vertical="center"/>
    </xf>
  </cellXfs>
  <cellStyles count="48">
    <cellStyle name="20% - 강조색1 2" xfId="25" xr:uid="{00000000-0005-0000-0000-000000000000}"/>
    <cellStyle name="20% - 강조색2 2" xfId="29" xr:uid="{00000000-0005-0000-0000-000001000000}"/>
    <cellStyle name="20% - 강조색3 2" xfId="33" xr:uid="{00000000-0005-0000-0000-000002000000}"/>
    <cellStyle name="20% - 강조색4 2" xfId="37" xr:uid="{00000000-0005-0000-0000-000003000000}"/>
    <cellStyle name="20% - 강조색5 2" xfId="41" xr:uid="{00000000-0005-0000-0000-000004000000}"/>
    <cellStyle name="20% - 강조색6 2" xfId="45" xr:uid="{00000000-0005-0000-0000-000005000000}"/>
    <cellStyle name="40% - 강조색1 2" xfId="26" xr:uid="{00000000-0005-0000-0000-000006000000}"/>
    <cellStyle name="40% - 강조색2 2" xfId="30" xr:uid="{00000000-0005-0000-0000-000007000000}"/>
    <cellStyle name="40% - 강조색3 2" xfId="34" xr:uid="{00000000-0005-0000-0000-000008000000}"/>
    <cellStyle name="40% - 강조색4 2" xfId="38" xr:uid="{00000000-0005-0000-0000-000009000000}"/>
    <cellStyle name="40% - 강조색5 2" xfId="42" xr:uid="{00000000-0005-0000-0000-00000A000000}"/>
    <cellStyle name="40% - 강조색6 2" xfId="46" xr:uid="{00000000-0005-0000-0000-00000B000000}"/>
    <cellStyle name="60% - 강조색1 2" xfId="27" xr:uid="{00000000-0005-0000-0000-00000C000000}"/>
    <cellStyle name="60% - 강조색2 2" xfId="31" xr:uid="{00000000-0005-0000-0000-00000D000000}"/>
    <cellStyle name="60% - 강조색3 2" xfId="35" xr:uid="{00000000-0005-0000-0000-00000E000000}"/>
    <cellStyle name="60% - 강조색4 2" xfId="39" xr:uid="{00000000-0005-0000-0000-00000F000000}"/>
    <cellStyle name="60% - 강조색5 2" xfId="43" xr:uid="{00000000-0005-0000-0000-000010000000}"/>
    <cellStyle name="60% - 강조색6 2" xfId="47" xr:uid="{00000000-0005-0000-0000-000011000000}"/>
    <cellStyle name="강조색1 2" xfId="24" xr:uid="{00000000-0005-0000-0000-000012000000}"/>
    <cellStyle name="강조색2 2" xfId="28" xr:uid="{00000000-0005-0000-0000-000013000000}"/>
    <cellStyle name="강조색3 2" xfId="32" xr:uid="{00000000-0005-0000-0000-000014000000}"/>
    <cellStyle name="강조색4 2" xfId="36" xr:uid="{00000000-0005-0000-0000-000015000000}"/>
    <cellStyle name="강조색5 2" xfId="40" xr:uid="{00000000-0005-0000-0000-000016000000}"/>
    <cellStyle name="강조색6 2" xfId="44" xr:uid="{00000000-0005-0000-0000-000017000000}"/>
    <cellStyle name="경고문 2" xfId="20" xr:uid="{00000000-0005-0000-0000-000018000000}"/>
    <cellStyle name="계산" xfId="8" builtinId="22" customBuiltin="1"/>
    <cellStyle name="나쁨 2" xfId="17" xr:uid="{00000000-0005-0000-0000-00001A000000}"/>
    <cellStyle name="메모 2" xfId="21" xr:uid="{00000000-0005-0000-0000-00001B000000}"/>
    <cellStyle name="보통 2" xfId="18" xr:uid="{00000000-0005-0000-0000-00001C000000}"/>
    <cellStyle name="설명 텍스트 2" xfId="22" xr:uid="{00000000-0005-0000-0000-00001D000000}"/>
    <cellStyle name="셀 확인" xfId="9" builtinId="23" customBuiltin="1"/>
    <cellStyle name="연결된 셀 2" xfId="19" xr:uid="{00000000-0005-0000-0000-00001F000000}"/>
    <cellStyle name="요약 2" xfId="23" xr:uid="{00000000-0005-0000-0000-000020000000}"/>
    <cellStyle name="입력" xfId="6" builtinId="20" customBuiltin="1"/>
    <cellStyle name="제목 1 2" xfId="12" xr:uid="{00000000-0005-0000-0000-000022000000}"/>
    <cellStyle name="제목 2 2" xfId="13" xr:uid="{00000000-0005-0000-0000-000023000000}"/>
    <cellStyle name="제목 3 2" xfId="14" xr:uid="{00000000-0005-0000-0000-000024000000}"/>
    <cellStyle name="제목 4 2" xfId="15" xr:uid="{00000000-0005-0000-0000-000025000000}"/>
    <cellStyle name="제목 5" xfId="11" xr:uid="{00000000-0005-0000-0000-000026000000}"/>
    <cellStyle name="좋음 2" xfId="16" xr:uid="{00000000-0005-0000-0000-000027000000}"/>
    <cellStyle name="출력" xfId="7" builtinId="21" customBuiltin="1"/>
    <cellStyle name="표준" xfId="0" builtinId="0"/>
    <cellStyle name="표준 2" xfId="2" xr:uid="{00000000-0005-0000-0000-00002A000000}"/>
    <cellStyle name="표준 3" xfId="1" xr:uid="{00000000-0005-0000-0000-00002B000000}"/>
    <cellStyle name="표준 4" xfId="3" xr:uid="{00000000-0005-0000-0000-00002C000000}"/>
    <cellStyle name="표준 5" xfId="4" xr:uid="{00000000-0005-0000-0000-00002D000000}"/>
    <cellStyle name="표준 6" xfId="5" xr:uid="{00000000-0005-0000-0000-00002E000000}"/>
    <cellStyle name="표준 7" xfId="10" xr:uid="{00000000-0005-0000-0000-00002F000000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wing.coupang.com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2"/>
  <sheetViews>
    <sheetView tabSelected="1" workbookViewId="0">
      <pane xSplit="3" ySplit="4" topLeftCell="D101" activePane="bottomRight" state="frozen"/>
      <selection pane="topRight"/>
      <selection pane="bottomLeft"/>
      <selection pane="bottomRight" activeCell="V3" sqref="V1:V1048576"/>
    </sheetView>
  </sheetViews>
  <sheetFormatPr defaultColWidth="16" defaultRowHeight="24.95" customHeight="1" x14ac:dyDescent="0.3"/>
  <cols>
    <col min="1" max="1" width="16.25" style="5" bestFit="1" customWidth="1"/>
    <col min="2" max="2" width="22.25" style="5" bestFit="1" customWidth="1"/>
    <col min="3" max="3" width="19.125" style="5" bestFit="1" customWidth="1"/>
    <col min="4" max="7" width="16.25" style="5" bestFit="1" customWidth="1"/>
    <col min="8" max="8" width="16" style="5"/>
    <col min="9" max="21" width="0" style="5" hidden="1" customWidth="1"/>
    <col min="22" max="22" width="16.25" style="5" bestFit="1" customWidth="1"/>
    <col min="23" max="23" width="0" style="5" hidden="1" customWidth="1"/>
    <col min="24" max="27" width="16" style="5"/>
    <col min="28" max="28" width="19.625" style="34" bestFit="1" customWidth="1"/>
    <col min="29" max="30" width="16" style="5"/>
    <col min="31" max="31" width="16.25" style="5" bestFit="1" customWidth="1"/>
    <col min="32" max="32" width="16" style="5"/>
    <col min="33" max="33" width="14.75" style="5" bestFit="1" customWidth="1"/>
    <col min="34" max="35" width="16" style="5"/>
    <col min="36" max="39" width="0" style="5" hidden="1" customWidth="1"/>
    <col min="40" max="16384" width="16" style="5"/>
  </cols>
  <sheetData>
    <row r="1" spans="1:39" ht="0" hidden="1" customHeight="1" x14ac:dyDescent="0.2">
      <c r="D1" s="35" t="s">
        <v>0</v>
      </c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7"/>
      <c r="V1" s="38" t="s">
        <v>1</v>
      </c>
      <c r="W1" s="36"/>
      <c r="X1" s="36"/>
      <c r="Y1" s="36"/>
      <c r="Z1" s="36"/>
      <c r="AA1" s="36"/>
      <c r="AB1" s="37"/>
      <c r="AC1" s="39" t="s">
        <v>2</v>
      </c>
      <c r="AD1" s="37"/>
      <c r="AE1" s="40" t="s">
        <v>3</v>
      </c>
      <c r="AF1" s="36"/>
      <c r="AG1" s="36"/>
      <c r="AH1" s="36"/>
      <c r="AI1" s="37"/>
    </row>
    <row r="2" spans="1:39" ht="60" customHeight="1" x14ac:dyDescent="0.2">
      <c r="A2" s="6" t="s">
        <v>4</v>
      </c>
      <c r="B2" s="41" t="s">
        <v>5</v>
      </c>
      <c r="C2" s="37"/>
      <c r="D2" s="6" t="s">
        <v>6</v>
      </c>
      <c r="E2" s="41" t="s">
        <v>7</v>
      </c>
      <c r="F2" s="36"/>
      <c r="G2" s="36"/>
      <c r="H2" s="37"/>
      <c r="I2" s="41" t="s">
        <v>8</v>
      </c>
      <c r="J2" s="36"/>
      <c r="K2" s="36"/>
      <c r="L2" s="36"/>
      <c r="M2" s="36"/>
      <c r="N2" s="36"/>
      <c r="O2" s="36"/>
      <c r="P2" s="37"/>
      <c r="Q2" s="41" t="s">
        <v>9</v>
      </c>
      <c r="R2" s="36"/>
      <c r="S2" s="36"/>
      <c r="T2" s="36"/>
      <c r="U2" s="37"/>
      <c r="V2" s="42" t="s">
        <v>10</v>
      </c>
      <c r="W2" s="37"/>
      <c r="X2" s="42" t="s">
        <v>11</v>
      </c>
      <c r="Y2" s="36"/>
      <c r="Z2" s="36"/>
      <c r="AA2" s="37"/>
      <c r="AB2" s="42" t="s">
        <v>12</v>
      </c>
      <c r="AC2" s="36"/>
      <c r="AD2" s="37"/>
      <c r="AE2" s="41" t="s">
        <v>13</v>
      </c>
      <c r="AF2" s="36"/>
      <c r="AG2" s="36"/>
      <c r="AH2" s="36"/>
      <c r="AI2" s="37"/>
    </row>
    <row r="3" spans="1:39" ht="60" customHeight="1" x14ac:dyDescent="0.3">
      <c r="A3" s="7" t="s">
        <v>14</v>
      </c>
      <c r="B3" s="7" t="s">
        <v>15</v>
      </c>
      <c r="C3" s="7" t="s">
        <v>16</v>
      </c>
      <c r="D3" s="7" t="s">
        <v>6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7" t="s">
        <v>24</v>
      </c>
      <c r="M3" s="7" t="s">
        <v>25</v>
      </c>
      <c r="N3" s="7" t="s">
        <v>26</v>
      </c>
      <c r="O3" s="7" t="s">
        <v>27</v>
      </c>
      <c r="P3" s="7" t="s">
        <v>28</v>
      </c>
      <c r="Q3" s="7" t="s">
        <v>29</v>
      </c>
      <c r="R3" s="7" t="s">
        <v>30</v>
      </c>
      <c r="S3" s="7" t="s">
        <v>31</v>
      </c>
      <c r="T3" s="7" t="s">
        <v>32</v>
      </c>
      <c r="U3" s="7" t="s">
        <v>33</v>
      </c>
      <c r="V3" s="8" t="s">
        <v>34</v>
      </c>
      <c r="W3" s="9" t="s">
        <v>35</v>
      </c>
      <c r="X3" s="8" t="s">
        <v>36</v>
      </c>
      <c r="Y3" s="9" t="s">
        <v>37</v>
      </c>
      <c r="Z3" s="8" t="s">
        <v>38</v>
      </c>
      <c r="AA3" s="8" t="s">
        <v>39</v>
      </c>
      <c r="AB3" s="10" t="s">
        <v>40</v>
      </c>
      <c r="AC3" s="8" t="s">
        <v>41</v>
      </c>
      <c r="AD3" s="8" t="s">
        <v>42</v>
      </c>
      <c r="AE3" s="7" t="s">
        <v>43</v>
      </c>
      <c r="AF3" s="7" t="s">
        <v>44</v>
      </c>
      <c r="AG3" s="7" t="s">
        <v>45</v>
      </c>
      <c r="AH3" s="7" t="s">
        <v>46</v>
      </c>
      <c r="AI3" s="7" t="s">
        <v>47</v>
      </c>
      <c r="AJ3" s="11" t="s">
        <v>48</v>
      </c>
      <c r="AK3" s="11" t="s">
        <v>49</v>
      </c>
      <c r="AL3" s="11" t="s">
        <v>50</v>
      </c>
      <c r="AM3" s="11" t="s">
        <v>51</v>
      </c>
    </row>
    <row r="4" spans="1:39" ht="120" x14ac:dyDescent="0.3">
      <c r="A4" s="12" t="s">
        <v>52</v>
      </c>
      <c r="B4" s="12" t="s">
        <v>53</v>
      </c>
      <c r="C4" s="12" t="s">
        <v>54</v>
      </c>
      <c r="D4" s="12" t="s">
        <v>55</v>
      </c>
      <c r="E4" s="12" t="s">
        <v>56</v>
      </c>
      <c r="F4" s="12" t="s">
        <v>57</v>
      </c>
      <c r="G4" s="12" t="s">
        <v>58</v>
      </c>
      <c r="H4" s="12" t="s">
        <v>59</v>
      </c>
      <c r="I4" s="12" t="s">
        <v>60</v>
      </c>
      <c r="J4" s="12" t="s">
        <v>60</v>
      </c>
      <c r="K4" s="12" t="s">
        <v>60</v>
      </c>
      <c r="L4" s="12" t="s">
        <v>60</v>
      </c>
      <c r="M4" s="12" t="s">
        <v>60</v>
      </c>
      <c r="N4" s="12" t="s">
        <v>60</v>
      </c>
      <c r="O4" s="12" t="s">
        <v>61</v>
      </c>
      <c r="P4" s="12" t="s">
        <v>62</v>
      </c>
      <c r="Q4" s="12"/>
      <c r="R4" s="12" t="s">
        <v>63</v>
      </c>
      <c r="S4" s="12" t="s">
        <v>64</v>
      </c>
      <c r="T4" s="12"/>
      <c r="U4" s="12"/>
      <c r="V4" s="12" t="s">
        <v>65</v>
      </c>
      <c r="W4" s="12" t="s">
        <v>66</v>
      </c>
      <c r="X4" s="12" t="s">
        <v>67</v>
      </c>
      <c r="Y4" s="12" t="s">
        <v>68</v>
      </c>
      <c r="Z4" s="12" t="s">
        <v>68</v>
      </c>
      <c r="AA4" s="12" t="s">
        <v>68</v>
      </c>
      <c r="AB4" s="13" t="s">
        <v>69</v>
      </c>
      <c r="AC4" s="12" t="s">
        <v>70</v>
      </c>
      <c r="AD4" s="12" t="s">
        <v>71</v>
      </c>
      <c r="AE4" s="12"/>
      <c r="AF4" s="12"/>
      <c r="AG4" s="14"/>
      <c r="AH4" s="14"/>
      <c r="AI4" s="14"/>
      <c r="AJ4" s="14"/>
      <c r="AK4" s="14"/>
      <c r="AL4" s="14"/>
      <c r="AM4" s="14"/>
    </row>
    <row r="5" spans="1:39" ht="24.95" customHeight="1" x14ac:dyDescent="0.3">
      <c r="A5" s="15">
        <v>130</v>
      </c>
      <c r="B5" s="16" t="s">
        <v>114</v>
      </c>
      <c r="C5" s="16" t="s">
        <v>87</v>
      </c>
      <c r="D5" s="16" t="s">
        <v>73</v>
      </c>
      <c r="E5" s="16" t="s">
        <v>115</v>
      </c>
      <c r="F5" s="16" t="s">
        <v>116</v>
      </c>
      <c r="G5" s="16" t="s">
        <v>117</v>
      </c>
      <c r="H5" s="16" t="s">
        <v>74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>
        <f>VLOOKUP(AB5,바코드찍는곳!B:C,2,0)</f>
        <v>2</v>
      </c>
      <c r="W5" s="15"/>
      <c r="X5" s="15"/>
      <c r="Y5" s="17" t="s">
        <v>75</v>
      </c>
      <c r="Z5" s="17" t="s">
        <v>75</v>
      </c>
      <c r="AA5" s="17" t="s">
        <v>75</v>
      </c>
      <c r="AB5" s="18" t="s">
        <v>118</v>
      </c>
      <c r="AC5" s="19" t="s">
        <v>81</v>
      </c>
      <c r="AD5" s="19" t="s">
        <v>76</v>
      </c>
      <c r="AE5" s="15">
        <v>0</v>
      </c>
      <c r="AF5" s="15"/>
      <c r="AG5" s="16" t="s">
        <v>113</v>
      </c>
      <c r="AH5" s="16" t="s">
        <v>78</v>
      </c>
      <c r="AI5" s="16" t="s">
        <v>79</v>
      </c>
    </row>
    <row r="6" spans="1:39" ht="24.95" customHeight="1" x14ac:dyDescent="0.3">
      <c r="A6" s="15">
        <v>177</v>
      </c>
      <c r="B6" s="16" t="s">
        <v>119</v>
      </c>
      <c r="C6" s="16" t="s">
        <v>124</v>
      </c>
      <c r="D6" s="16" t="s">
        <v>120</v>
      </c>
      <c r="E6" s="16" t="s">
        <v>121</v>
      </c>
      <c r="F6" s="16" t="s">
        <v>122</v>
      </c>
      <c r="G6" s="16" t="s">
        <v>125</v>
      </c>
      <c r="H6" s="16" t="s">
        <v>74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>
        <f>VLOOKUP(AB6,바코드찍는곳!B:C,2,0)</f>
        <v>1</v>
      </c>
      <c r="W6" s="15"/>
      <c r="X6" s="15"/>
      <c r="Y6" s="17" t="s">
        <v>75</v>
      </c>
      <c r="Z6" s="17" t="s">
        <v>75</v>
      </c>
      <c r="AA6" s="17" t="s">
        <v>75</v>
      </c>
      <c r="AB6" s="18" t="s">
        <v>126</v>
      </c>
      <c r="AC6" s="19" t="s">
        <v>81</v>
      </c>
      <c r="AD6" s="19" t="s">
        <v>76</v>
      </c>
      <c r="AE6" s="15">
        <v>0</v>
      </c>
      <c r="AF6" s="15"/>
      <c r="AG6" s="16" t="s">
        <v>123</v>
      </c>
      <c r="AH6" s="16" t="s">
        <v>78</v>
      </c>
      <c r="AI6" s="16" t="s">
        <v>79</v>
      </c>
    </row>
    <row r="7" spans="1:39" ht="24.95" customHeight="1" x14ac:dyDescent="0.3">
      <c r="A7" s="15">
        <v>403</v>
      </c>
      <c r="B7" s="16" t="s">
        <v>128</v>
      </c>
      <c r="C7" s="16" t="s">
        <v>132</v>
      </c>
      <c r="D7" s="16" t="s">
        <v>129</v>
      </c>
      <c r="E7" s="16" t="s">
        <v>130</v>
      </c>
      <c r="F7" s="16" t="s">
        <v>131</v>
      </c>
      <c r="G7" s="16" t="s">
        <v>133</v>
      </c>
      <c r="H7" s="16" t="s">
        <v>74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>
        <f>VLOOKUP(AB7,바코드찍는곳!B:C,2,0)</f>
        <v>1</v>
      </c>
      <c r="W7" s="15"/>
      <c r="X7" s="15"/>
      <c r="Y7" s="17" t="s">
        <v>75</v>
      </c>
      <c r="Z7" s="17" t="s">
        <v>75</v>
      </c>
      <c r="AA7" s="17" t="s">
        <v>75</v>
      </c>
      <c r="AB7" s="18" t="s">
        <v>134</v>
      </c>
      <c r="AC7" s="19" t="s">
        <v>81</v>
      </c>
      <c r="AD7" s="19" t="s">
        <v>76</v>
      </c>
      <c r="AE7" s="15">
        <v>0</v>
      </c>
      <c r="AF7" s="15"/>
      <c r="AG7" s="16" t="s">
        <v>77</v>
      </c>
      <c r="AH7" s="16" t="s">
        <v>78</v>
      </c>
      <c r="AI7" s="16" t="s">
        <v>79</v>
      </c>
    </row>
    <row r="8" spans="1:39" ht="24.95" customHeight="1" x14ac:dyDescent="0.3">
      <c r="A8" s="15">
        <v>404</v>
      </c>
      <c r="B8" s="16" t="s">
        <v>128</v>
      </c>
      <c r="C8" s="16" t="s">
        <v>135</v>
      </c>
      <c r="D8" s="16" t="s">
        <v>129</v>
      </c>
      <c r="E8" s="16" t="s">
        <v>130</v>
      </c>
      <c r="F8" s="16" t="s">
        <v>131</v>
      </c>
      <c r="G8" s="16" t="s">
        <v>136</v>
      </c>
      <c r="H8" s="16" t="s">
        <v>74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>
        <f>VLOOKUP(AB8,바코드찍는곳!B:C,2,0)</f>
        <v>1</v>
      </c>
      <c r="W8" s="15"/>
      <c r="X8" s="15"/>
      <c r="Y8" s="17" t="s">
        <v>75</v>
      </c>
      <c r="Z8" s="17" t="s">
        <v>75</v>
      </c>
      <c r="AA8" s="17" t="s">
        <v>75</v>
      </c>
      <c r="AB8" s="18" t="s">
        <v>137</v>
      </c>
      <c r="AC8" s="19" t="s">
        <v>81</v>
      </c>
      <c r="AD8" s="19" t="s">
        <v>76</v>
      </c>
      <c r="AE8" s="15">
        <v>0</v>
      </c>
      <c r="AF8" s="15"/>
      <c r="AG8" s="16" t="s">
        <v>77</v>
      </c>
      <c r="AH8" s="16" t="s">
        <v>78</v>
      </c>
      <c r="AI8" s="16" t="s">
        <v>79</v>
      </c>
    </row>
    <row r="9" spans="1:39" ht="24.95" customHeight="1" x14ac:dyDescent="0.3">
      <c r="A9" s="15">
        <v>450</v>
      </c>
      <c r="B9" s="16" t="s">
        <v>138</v>
      </c>
      <c r="C9" s="16" t="s">
        <v>72</v>
      </c>
      <c r="D9" s="16" t="s">
        <v>104</v>
      </c>
      <c r="E9" s="16" t="s">
        <v>139</v>
      </c>
      <c r="F9" s="16" t="s">
        <v>140</v>
      </c>
      <c r="G9" s="16" t="s">
        <v>141</v>
      </c>
      <c r="H9" s="16" t="s">
        <v>74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>
        <f>VLOOKUP(AB9,바코드찍는곳!B:C,2,0)</f>
        <v>1</v>
      </c>
      <c r="W9" s="15"/>
      <c r="X9" s="15"/>
      <c r="Y9" s="17" t="s">
        <v>75</v>
      </c>
      <c r="Z9" s="17" t="s">
        <v>75</v>
      </c>
      <c r="AA9" s="17" t="s">
        <v>75</v>
      </c>
      <c r="AB9" s="18" t="s">
        <v>142</v>
      </c>
      <c r="AC9" s="19" t="s">
        <v>81</v>
      </c>
      <c r="AD9" s="19" t="s">
        <v>76</v>
      </c>
      <c r="AE9" s="15">
        <v>0</v>
      </c>
      <c r="AF9" s="15"/>
      <c r="AG9" s="16" t="s">
        <v>123</v>
      </c>
      <c r="AH9" s="16" t="s">
        <v>78</v>
      </c>
      <c r="AI9" s="16" t="s">
        <v>79</v>
      </c>
    </row>
    <row r="10" spans="1:39" ht="24.95" customHeight="1" x14ac:dyDescent="0.3">
      <c r="A10" s="15">
        <v>460</v>
      </c>
      <c r="B10" s="16" t="s">
        <v>138</v>
      </c>
      <c r="C10" s="16" t="s">
        <v>88</v>
      </c>
      <c r="D10" s="16" t="s">
        <v>104</v>
      </c>
      <c r="E10" s="16" t="s">
        <v>139</v>
      </c>
      <c r="F10" s="16" t="s">
        <v>140</v>
      </c>
      <c r="G10" s="16" t="s">
        <v>143</v>
      </c>
      <c r="H10" s="16" t="s">
        <v>74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>
        <f>VLOOKUP(AB10,바코드찍는곳!B:C,2,0)</f>
        <v>1</v>
      </c>
      <c r="W10" s="15"/>
      <c r="X10" s="15"/>
      <c r="Y10" s="17" t="s">
        <v>75</v>
      </c>
      <c r="Z10" s="17" t="s">
        <v>75</v>
      </c>
      <c r="AA10" s="17" t="s">
        <v>75</v>
      </c>
      <c r="AB10" s="18" t="s">
        <v>144</v>
      </c>
      <c r="AC10" s="19" t="s">
        <v>81</v>
      </c>
      <c r="AD10" s="19" t="s">
        <v>76</v>
      </c>
      <c r="AE10" s="15">
        <v>0</v>
      </c>
      <c r="AF10" s="15"/>
      <c r="AG10" s="16" t="s">
        <v>123</v>
      </c>
      <c r="AH10" s="16" t="s">
        <v>78</v>
      </c>
      <c r="AI10" s="16" t="s">
        <v>79</v>
      </c>
    </row>
    <row r="11" spans="1:39" ht="24.95" customHeight="1" x14ac:dyDescent="0.3">
      <c r="A11" s="15">
        <v>480</v>
      </c>
      <c r="B11" s="16" t="s">
        <v>145</v>
      </c>
      <c r="C11" s="16" t="s">
        <v>85</v>
      </c>
      <c r="D11" s="16" t="s">
        <v>104</v>
      </c>
      <c r="E11" s="16" t="s">
        <v>146</v>
      </c>
      <c r="F11" s="16" t="s">
        <v>147</v>
      </c>
      <c r="G11" s="16" t="s">
        <v>148</v>
      </c>
      <c r="H11" s="16" t="s">
        <v>74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>
        <f>VLOOKUP(AB11,바코드찍는곳!B:C,2,0)</f>
        <v>1</v>
      </c>
      <c r="W11" s="15"/>
      <c r="X11" s="15"/>
      <c r="Y11" s="17" t="s">
        <v>75</v>
      </c>
      <c r="Z11" s="17" t="s">
        <v>75</v>
      </c>
      <c r="AA11" s="17" t="s">
        <v>75</v>
      </c>
      <c r="AB11" s="18" t="s">
        <v>149</v>
      </c>
      <c r="AC11" s="19" t="s">
        <v>81</v>
      </c>
      <c r="AD11" s="19" t="s">
        <v>76</v>
      </c>
      <c r="AE11" s="15">
        <v>0</v>
      </c>
      <c r="AF11" s="15"/>
      <c r="AG11" s="16" t="s">
        <v>123</v>
      </c>
      <c r="AH11" s="16" t="s">
        <v>78</v>
      </c>
      <c r="AI11" s="16" t="s">
        <v>79</v>
      </c>
    </row>
    <row r="12" spans="1:39" ht="24.95" customHeight="1" x14ac:dyDescent="0.3">
      <c r="A12" s="15">
        <v>481</v>
      </c>
      <c r="B12" s="16" t="s">
        <v>145</v>
      </c>
      <c r="C12" s="16" t="s">
        <v>86</v>
      </c>
      <c r="D12" s="16" t="s">
        <v>104</v>
      </c>
      <c r="E12" s="16" t="s">
        <v>146</v>
      </c>
      <c r="F12" s="16" t="s">
        <v>147</v>
      </c>
      <c r="G12" s="16" t="s">
        <v>150</v>
      </c>
      <c r="H12" s="16" t="s">
        <v>74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>
        <f>VLOOKUP(AB12,바코드찍는곳!B:C,2,0)</f>
        <v>1</v>
      </c>
      <c r="W12" s="15"/>
      <c r="X12" s="15"/>
      <c r="Y12" s="17" t="s">
        <v>75</v>
      </c>
      <c r="Z12" s="17" t="s">
        <v>75</v>
      </c>
      <c r="AA12" s="17" t="s">
        <v>75</v>
      </c>
      <c r="AB12" s="18" t="s">
        <v>151</v>
      </c>
      <c r="AC12" s="19" t="s">
        <v>81</v>
      </c>
      <c r="AD12" s="19" t="s">
        <v>76</v>
      </c>
      <c r="AE12" s="15">
        <v>0</v>
      </c>
      <c r="AF12" s="15"/>
      <c r="AG12" s="16" t="s">
        <v>123</v>
      </c>
      <c r="AH12" s="16" t="s">
        <v>78</v>
      </c>
      <c r="AI12" s="16" t="s">
        <v>79</v>
      </c>
    </row>
    <row r="13" spans="1:39" ht="24.95" customHeight="1" x14ac:dyDescent="0.3">
      <c r="A13" s="15">
        <v>525</v>
      </c>
      <c r="B13" s="16" t="s">
        <v>152</v>
      </c>
      <c r="C13" s="16" t="s">
        <v>83</v>
      </c>
      <c r="D13" s="16" t="s">
        <v>153</v>
      </c>
      <c r="E13" s="16" t="s">
        <v>154</v>
      </c>
      <c r="F13" s="16" t="s">
        <v>155</v>
      </c>
      <c r="G13" s="16" t="s">
        <v>156</v>
      </c>
      <c r="H13" s="16" t="s">
        <v>74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>
        <f>VLOOKUP(AB13,바코드찍는곳!B:C,2,0)</f>
        <v>2</v>
      </c>
      <c r="W13" s="15"/>
      <c r="X13" s="15"/>
      <c r="Y13" s="17" t="s">
        <v>75</v>
      </c>
      <c r="Z13" s="17" t="s">
        <v>75</v>
      </c>
      <c r="AA13" s="17" t="s">
        <v>75</v>
      </c>
      <c r="AB13" s="18" t="s">
        <v>157</v>
      </c>
      <c r="AC13" s="19" t="s">
        <v>81</v>
      </c>
      <c r="AD13" s="19" t="s">
        <v>76</v>
      </c>
      <c r="AE13" s="15">
        <v>0</v>
      </c>
      <c r="AF13" s="15"/>
      <c r="AG13" s="16" t="s">
        <v>113</v>
      </c>
      <c r="AH13" s="16" t="s">
        <v>78</v>
      </c>
      <c r="AI13" s="16" t="s">
        <v>79</v>
      </c>
    </row>
    <row r="14" spans="1:39" ht="24.95" customHeight="1" x14ac:dyDescent="0.3">
      <c r="A14" s="15">
        <v>540</v>
      </c>
      <c r="B14" s="16" t="s">
        <v>158</v>
      </c>
      <c r="C14" s="16" t="s">
        <v>90</v>
      </c>
      <c r="D14" s="16" t="s">
        <v>159</v>
      </c>
      <c r="E14" s="16" t="s">
        <v>160</v>
      </c>
      <c r="F14" s="16" t="s">
        <v>161</v>
      </c>
      <c r="G14" s="16" t="s">
        <v>162</v>
      </c>
      <c r="H14" s="16" t="s">
        <v>74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>
        <f>VLOOKUP(AB14,바코드찍는곳!B:C,2,0)</f>
        <v>2</v>
      </c>
      <c r="W14" s="15"/>
      <c r="X14" s="15"/>
      <c r="Y14" s="17" t="s">
        <v>75</v>
      </c>
      <c r="Z14" s="17" t="s">
        <v>75</v>
      </c>
      <c r="AA14" s="17" t="s">
        <v>75</v>
      </c>
      <c r="AB14" s="18" t="s">
        <v>163</v>
      </c>
      <c r="AC14" s="19" t="s">
        <v>81</v>
      </c>
      <c r="AD14" s="19" t="s">
        <v>76</v>
      </c>
      <c r="AE14" s="15">
        <v>0</v>
      </c>
      <c r="AF14" s="15"/>
      <c r="AG14" s="16" t="s">
        <v>110</v>
      </c>
      <c r="AH14" s="16" t="s">
        <v>78</v>
      </c>
      <c r="AI14" s="16" t="s">
        <v>79</v>
      </c>
    </row>
    <row r="15" spans="1:39" ht="24.95" customHeight="1" x14ac:dyDescent="0.3">
      <c r="A15" s="15">
        <v>541</v>
      </c>
      <c r="B15" s="16" t="s">
        <v>158</v>
      </c>
      <c r="C15" s="16" t="s">
        <v>91</v>
      </c>
      <c r="D15" s="16" t="s">
        <v>159</v>
      </c>
      <c r="E15" s="16" t="s">
        <v>160</v>
      </c>
      <c r="F15" s="16" t="s">
        <v>161</v>
      </c>
      <c r="G15" s="16" t="s">
        <v>164</v>
      </c>
      <c r="H15" s="16" t="s">
        <v>74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>
        <f>VLOOKUP(AB15,바코드찍는곳!B:C,2,0)</f>
        <v>2</v>
      </c>
      <c r="W15" s="15"/>
      <c r="X15" s="15"/>
      <c r="Y15" s="17" t="s">
        <v>75</v>
      </c>
      <c r="Z15" s="17" t="s">
        <v>75</v>
      </c>
      <c r="AA15" s="17" t="s">
        <v>75</v>
      </c>
      <c r="AB15" s="18" t="s">
        <v>165</v>
      </c>
      <c r="AC15" s="19" t="s">
        <v>81</v>
      </c>
      <c r="AD15" s="19" t="s">
        <v>76</v>
      </c>
      <c r="AE15" s="15">
        <v>0</v>
      </c>
      <c r="AF15" s="15"/>
      <c r="AG15" s="16" t="s">
        <v>110</v>
      </c>
      <c r="AH15" s="16" t="s">
        <v>78</v>
      </c>
      <c r="AI15" s="16" t="s">
        <v>79</v>
      </c>
    </row>
    <row r="16" spans="1:39" ht="24.95" customHeight="1" x14ac:dyDescent="0.3">
      <c r="A16" s="15">
        <v>542</v>
      </c>
      <c r="B16" s="16" t="s">
        <v>158</v>
      </c>
      <c r="C16" s="16" t="s">
        <v>92</v>
      </c>
      <c r="D16" s="16" t="s">
        <v>159</v>
      </c>
      <c r="E16" s="16" t="s">
        <v>160</v>
      </c>
      <c r="F16" s="16" t="s">
        <v>161</v>
      </c>
      <c r="G16" s="16" t="s">
        <v>166</v>
      </c>
      <c r="H16" s="16" t="s">
        <v>74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>
        <f>VLOOKUP(AB16,바코드찍는곳!B:C,2,0)</f>
        <v>1</v>
      </c>
      <c r="W16" s="15"/>
      <c r="X16" s="15"/>
      <c r="Y16" s="17" t="s">
        <v>75</v>
      </c>
      <c r="Z16" s="17" t="s">
        <v>75</v>
      </c>
      <c r="AA16" s="17" t="s">
        <v>75</v>
      </c>
      <c r="AB16" s="18" t="s">
        <v>167</v>
      </c>
      <c r="AC16" s="19" t="s">
        <v>81</v>
      </c>
      <c r="AD16" s="19" t="s">
        <v>76</v>
      </c>
      <c r="AE16" s="15">
        <v>0</v>
      </c>
      <c r="AF16" s="15"/>
      <c r="AG16" s="16" t="s">
        <v>110</v>
      </c>
      <c r="AH16" s="16" t="s">
        <v>78</v>
      </c>
      <c r="AI16" s="16" t="s">
        <v>79</v>
      </c>
    </row>
    <row r="17" spans="1:35" ht="24.95" customHeight="1" x14ac:dyDescent="0.3">
      <c r="A17" s="15">
        <v>544</v>
      </c>
      <c r="B17" s="16" t="s">
        <v>168</v>
      </c>
      <c r="C17" s="16" t="s">
        <v>89</v>
      </c>
      <c r="D17" s="16" t="s">
        <v>104</v>
      </c>
      <c r="E17" s="16" t="s">
        <v>169</v>
      </c>
      <c r="F17" s="16" t="s">
        <v>170</v>
      </c>
      <c r="G17" s="16" t="s">
        <v>171</v>
      </c>
      <c r="H17" s="16" t="s">
        <v>74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>
        <f>VLOOKUP(AB17,바코드찍는곳!B:C,2,0)</f>
        <v>2</v>
      </c>
      <c r="W17" s="15"/>
      <c r="X17" s="15"/>
      <c r="Y17" s="17" t="s">
        <v>75</v>
      </c>
      <c r="Z17" s="17" t="s">
        <v>75</v>
      </c>
      <c r="AA17" s="17" t="s">
        <v>75</v>
      </c>
      <c r="AB17" s="18" t="s">
        <v>172</v>
      </c>
      <c r="AC17" s="19" t="s">
        <v>81</v>
      </c>
      <c r="AD17" s="19" t="s">
        <v>76</v>
      </c>
      <c r="AE17" s="15">
        <v>0</v>
      </c>
      <c r="AF17" s="15"/>
      <c r="AG17" s="16" t="s">
        <v>110</v>
      </c>
      <c r="AH17" s="16" t="s">
        <v>78</v>
      </c>
      <c r="AI17" s="16" t="s">
        <v>79</v>
      </c>
    </row>
    <row r="18" spans="1:35" ht="24.95" customHeight="1" x14ac:dyDescent="0.3">
      <c r="A18" s="15">
        <v>545</v>
      </c>
      <c r="B18" s="16" t="s">
        <v>168</v>
      </c>
      <c r="C18" s="16" t="s">
        <v>90</v>
      </c>
      <c r="D18" s="16" t="s">
        <v>104</v>
      </c>
      <c r="E18" s="16" t="s">
        <v>169</v>
      </c>
      <c r="F18" s="16" t="s">
        <v>170</v>
      </c>
      <c r="G18" s="16" t="s">
        <v>173</v>
      </c>
      <c r="H18" s="16" t="s">
        <v>74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>
        <f>VLOOKUP(AB18,바코드찍는곳!B:C,2,0)</f>
        <v>2</v>
      </c>
      <c r="W18" s="15"/>
      <c r="X18" s="15"/>
      <c r="Y18" s="17" t="s">
        <v>75</v>
      </c>
      <c r="Z18" s="17" t="s">
        <v>75</v>
      </c>
      <c r="AA18" s="17" t="s">
        <v>75</v>
      </c>
      <c r="AB18" s="18" t="s">
        <v>174</v>
      </c>
      <c r="AC18" s="19" t="s">
        <v>81</v>
      </c>
      <c r="AD18" s="19" t="s">
        <v>76</v>
      </c>
      <c r="AE18" s="15">
        <v>0</v>
      </c>
      <c r="AF18" s="15"/>
      <c r="AG18" s="16" t="s">
        <v>110</v>
      </c>
      <c r="AH18" s="16" t="s">
        <v>78</v>
      </c>
      <c r="AI18" s="16" t="s">
        <v>79</v>
      </c>
    </row>
    <row r="19" spans="1:35" ht="24.95" customHeight="1" x14ac:dyDescent="0.3">
      <c r="A19" s="15">
        <v>546</v>
      </c>
      <c r="B19" s="16" t="s">
        <v>168</v>
      </c>
      <c r="C19" s="16" t="s">
        <v>91</v>
      </c>
      <c r="D19" s="16" t="s">
        <v>104</v>
      </c>
      <c r="E19" s="16" t="s">
        <v>169</v>
      </c>
      <c r="F19" s="16" t="s">
        <v>170</v>
      </c>
      <c r="G19" s="16" t="s">
        <v>175</v>
      </c>
      <c r="H19" s="16" t="s">
        <v>74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>
        <f>VLOOKUP(AB19,바코드찍는곳!B:C,2,0)</f>
        <v>2</v>
      </c>
      <c r="W19" s="15"/>
      <c r="X19" s="15"/>
      <c r="Y19" s="17" t="s">
        <v>75</v>
      </c>
      <c r="Z19" s="17" t="s">
        <v>75</v>
      </c>
      <c r="AA19" s="17" t="s">
        <v>75</v>
      </c>
      <c r="AB19" s="18" t="s">
        <v>176</v>
      </c>
      <c r="AC19" s="19" t="s">
        <v>81</v>
      </c>
      <c r="AD19" s="19" t="s">
        <v>76</v>
      </c>
      <c r="AE19" s="15">
        <v>0</v>
      </c>
      <c r="AF19" s="15"/>
      <c r="AG19" s="16" t="s">
        <v>110</v>
      </c>
      <c r="AH19" s="16" t="s">
        <v>78</v>
      </c>
      <c r="AI19" s="16" t="s">
        <v>79</v>
      </c>
    </row>
    <row r="20" spans="1:35" ht="24.95" customHeight="1" x14ac:dyDescent="0.3">
      <c r="A20" s="15">
        <v>547</v>
      </c>
      <c r="B20" s="16" t="s">
        <v>168</v>
      </c>
      <c r="C20" s="16" t="s">
        <v>92</v>
      </c>
      <c r="D20" s="16" t="s">
        <v>104</v>
      </c>
      <c r="E20" s="16" t="s">
        <v>169</v>
      </c>
      <c r="F20" s="16" t="s">
        <v>170</v>
      </c>
      <c r="G20" s="16" t="s">
        <v>177</v>
      </c>
      <c r="H20" s="16" t="s">
        <v>74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>
        <f>VLOOKUP(AB20,바코드찍는곳!B:C,2,0)</f>
        <v>2</v>
      </c>
      <c r="W20" s="15"/>
      <c r="X20" s="15"/>
      <c r="Y20" s="17" t="s">
        <v>75</v>
      </c>
      <c r="Z20" s="17" t="s">
        <v>75</v>
      </c>
      <c r="AA20" s="17" t="s">
        <v>75</v>
      </c>
      <c r="AB20" s="18" t="s">
        <v>178</v>
      </c>
      <c r="AC20" s="19" t="s">
        <v>81</v>
      </c>
      <c r="AD20" s="19" t="s">
        <v>76</v>
      </c>
      <c r="AE20" s="15">
        <v>0</v>
      </c>
      <c r="AF20" s="15"/>
      <c r="AG20" s="16" t="s">
        <v>110</v>
      </c>
      <c r="AH20" s="16" t="s">
        <v>78</v>
      </c>
      <c r="AI20" s="16" t="s">
        <v>79</v>
      </c>
    </row>
    <row r="21" spans="1:35" ht="24.95" customHeight="1" x14ac:dyDescent="0.3">
      <c r="A21" s="15">
        <v>553</v>
      </c>
      <c r="B21" s="16" t="s">
        <v>179</v>
      </c>
      <c r="C21" s="16" t="s">
        <v>83</v>
      </c>
      <c r="D21" s="16" t="s">
        <v>127</v>
      </c>
      <c r="E21" s="16" t="s">
        <v>180</v>
      </c>
      <c r="F21" s="16" t="s">
        <v>181</v>
      </c>
      <c r="G21" s="16" t="s">
        <v>182</v>
      </c>
      <c r="H21" s="16" t="s">
        <v>74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>
        <f>VLOOKUP(AB21,바코드찍는곳!B:C,2,0)</f>
        <v>2</v>
      </c>
      <c r="W21" s="15"/>
      <c r="X21" s="15"/>
      <c r="Y21" s="17" t="s">
        <v>75</v>
      </c>
      <c r="Z21" s="17" t="s">
        <v>75</v>
      </c>
      <c r="AA21" s="17" t="s">
        <v>75</v>
      </c>
      <c r="AB21" s="18" t="s">
        <v>183</v>
      </c>
      <c r="AC21" s="19" t="s">
        <v>81</v>
      </c>
      <c r="AD21" s="19" t="s">
        <v>76</v>
      </c>
      <c r="AE21" s="15">
        <v>0</v>
      </c>
      <c r="AF21" s="15"/>
      <c r="AG21" s="16" t="s">
        <v>77</v>
      </c>
      <c r="AH21" s="16" t="s">
        <v>78</v>
      </c>
      <c r="AI21" s="16" t="s">
        <v>79</v>
      </c>
    </row>
    <row r="22" spans="1:35" ht="24.95" customHeight="1" x14ac:dyDescent="0.3">
      <c r="A22" s="15">
        <v>613</v>
      </c>
      <c r="B22" s="16" t="s">
        <v>185</v>
      </c>
      <c r="C22" s="16" t="s">
        <v>87</v>
      </c>
      <c r="D22" s="16" t="s">
        <v>94</v>
      </c>
      <c r="E22" s="16" t="s">
        <v>186</v>
      </c>
      <c r="F22" s="16" t="s">
        <v>187</v>
      </c>
      <c r="G22" s="16" t="s">
        <v>188</v>
      </c>
      <c r="H22" s="16" t="s">
        <v>74</v>
      </c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>
        <f>VLOOKUP(AB22,바코드찍는곳!B:C,2,0)</f>
        <v>2</v>
      </c>
      <c r="W22" s="15"/>
      <c r="X22" s="15"/>
      <c r="Y22" s="17" t="s">
        <v>75</v>
      </c>
      <c r="Z22" s="17" t="s">
        <v>75</v>
      </c>
      <c r="AA22" s="17" t="s">
        <v>75</v>
      </c>
      <c r="AB22" s="18" t="s">
        <v>189</v>
      </c>
      <c r="AC22" s="19" t="s">
        <v>81</v>
      </c>
      <c r="AD22" s="19" t="s">
        <v>76</v>
      </c>
      <c r="AE22" s="15">
        <v>0</v>
      </c>
      <c r="AF22" s="15"/>
      <c r="AG22" s="16" t="s">
        <v>184</v>
      </c>
      <c r="AH22" s="16" t="s">
        <v>78</v>
      </c>
      <c r="AI22" s="16" t="s">
        <v>79</v>
      </c>
    </row>
    <row r="23" spans="1:35" ht="24.95" customHeight="1" x14ac:dyDescent="0.3">
      <c r="A23" s="15">
        <v>614</v>
      </c>
      <c r="B23" s="16" t="s">
        <v>185</v>
      </c>
      <c r="C23" s="16" t="s">
        <v>88</v>
      </c>
      <c r="D23" s="16" t="s">
        <v>94</v>
      </c>
      <c r="E23" s="16" t="s">
        <v>186</v>
      </c>
      <c r="F23" s="16" t="s">
        <v>187</v>
      </c>
      <c r="G23" s="16" t="s">
        <v>190</v>
      </c>
      <c r="H23" s="16" t="s">
        <v>74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>
        <f>VLOOKUP(AB23,바코드찍는곳!B:C,2,0)</f>
        <v>1</v>
      </c>
      <c r="W23" s="15"/>
      <c r="X23" s="15"/>
      <c r="Y23" s="17" t="s">
        <v>75</v>
      </c>
      <c r="Z23" s="17" t="s">
        <v>75</v>
      </c>
      <c r="AA23" s="17" t="s">
        <v>75</v>
      </c>
      <c r="AB23" s="18" t="s">
        <v>191</v>
      </c>
      <c r="AC23" s="19" t="s">
        <v>81</v>
      </c>
      <c r="AD23" s="19" t="s">
        <v>76</v>
      </c>
      <c r="AE23" s="15">
        <v>0</v>
      </c>
      <c r="AF23" s="15"/>
      <c r="AG23" s="16" t="s">
        <v>184</v>
      </c>
      <c r="AH23" s="16" t="s">
        <v>78</v>
      </c>
      <c r="AI23" s="16" t="s">
        <v>79</v>
      </c>
    </row>
    <row r="24" spans="1:35" ht="24.95" customHeight="1" x14ac:dyDescent="0.3">
      <c r="A24" s="15">
        <v>618</v>
      </c>
      <c r="B24" s="16" t="s">
        <v>185</v>
      </c>
      <c r="C24" s="16" t="s">
        <v>91</v>
      </c>
      <c r="D24" s="16" t="s">
        <v>94</v>
      </c>
      <c r="E24" s="16" t="s">
        <v>186</v>
      </c>
      <c r="F24" s="16" t="s">
        <v>187</v>
      </c>
      <c r="G24" s="16" t="s">
        <v>294</v>
      </c>
      <c r="H24" s="16" t="s">
        <v>74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>
        <f>VLOOKUP(AB24,바코드찍는곳!B:C,2,0)</f>
        <v>1</v>
      </c>
      <c r="W24" s="15"/>
      <c r="X24" s="15"/>
      <c r="Y24" s="17" t="s">
        <v>75</v>
      </c>
      <c r="Z24" s="17" t="s">
        <v>75</v>
      </c>
      <c r="AA24" s="17" t="s">
        <v>75</v>
      </c>
      <c r="AB24" s="18" t="s">
        <v>365</v>
      </c>
      <c r="AC24" s="19" t="s">
        <v>81</v>
      </c>
      <c r="AD24" s="19" t="s">
        <v>76</v>
      </c>
      <c r="AE24" s="15">
        <v>0</v>
      </c>
      <c r="AF24" s="15"/>
      <c r="AG24" s="16" t="s">
        <v>184</v>
      </c>
      <c r="AH24" s="16" t="s">
        <v>78</v>
      </c>
      <c r="AI24" s="16" t="s">
        <v>79</v>
      </c>
    </row>
    <row r="25" spans="1:35" ht="24.95" customHeight="1" x14ac:dyDescent="0.3">
      <c r="A25" s="15">
        <v>619</v>
      </c>
      <c r="B25" s="16" t="s">
        <v>185</v>
      </c>
      <c r="C25" s="16" t="s">
        <v>92</v>
      </c>
      <c r="D25" s="16" t="s">
        <v>94</v>
      </c>
      <c r="E25" s="16" t="s">
        <v>186</v>
      </c>
      <c r="F25" s="16" t="s">
        <v>187</v>
      </c>
      <c r="G25" s="16" t="s">
        <v>295</v>
      </c>
      <c r="H25" s="16" t="s">
        <v>74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>
        <f>VLOOKUP(AB25,바코드찍는곳!B:C,2,0)</f>
        <v>2</v>
      </c>
      <c r="W25" s="15"/>
      <c r="X25" s="15"/>
      <c r="Y25" s="17" t="s">
        <v>75</v>
      </c>
      <c r="Z25" s="17" t="s">
        <v>75</v>
      </c>
      <c r="AA25" s="17" t="s">
        <v>75</v>
      </c>
      <c r="AB25" s="18" t="s">
        <v>366</v>
      </c>
      <c r="AC25" s="19" t="s">
        <v>81</v>
      </c>
      <c r="AD25" s="19" t="s">
        <v>76</v>
      </c>
      <c r="AE25" s="15">
        <v>0</v>
      </c>
      <c r="AF25" s="15"/>
      <c r="AG25" s="16" t="s">
        <v>184</v>
      </c>
      <c r="AH25" s="16" t="s">
        <v>78</v>
      </c>
      <c r="AI25" s="16" t="s">
        <v>79</v>
      </c>
    </row>
    <row r="26" spans="1:35" ht="24.95" customHeight="1" x14ac:dyDescent="0.3">
      <c r="A26" s="15">
        <v>625</v>
      </c>
      <c r="B26" s="16" t="s">
        <v>194</v>
      </c>
      <c r="C26" s="16" t="s">
        <v>83</v>
      </c>
      <c r="D26" s="16" t="s">
        <v>153</v>
      </c>
      <c r="E26" s="16" t="s">
        <v>270</v>
      </c>
      <c r="F26" s="16" t="s">
        <v>245</v>
      </c>
      <c r="G26" s="16" t="s">
        <v>296</v>
      </c>
      <c r="H26" s="16" t="s">
        <v>74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>
        <f>VLOOKUP(AB26,바코드찍는곳!B:C,2,0)</f>
        <v>3</v>
      </c>
      <c r="W26" s="15"/>
      <c r="X26" s="15"/>
      <c r="Y26" s="17" t="s">
        <v>75</v>
      </c>
      <c r="Z26" s="17" t="s">
        <v>75</v>
      </c>
      <c r="AA26" s="17" t="s">
        <v>75</v>
      </c>
      <c r="AB26" s="18" t="s">
        <v>346</v>
      </c>
      <c r="AC26" s="19" t="s">
        <v>81</v>
      </c>
      <c r="AD26" s="19" t="s">
        <v>76</v>
      </c>
      <c r="AE26" s="15">
        <v>0</v>
      </c>
      <c r="AF26" s="15"/>
      <c r="AG26" s="16" t="s">
        <v>123</v>
      </c>
      <c r="AH26" s="16" t="s">
        <v>78</v>
      </c>
      <c r="AI26" s="16" t="s">
        <v>79</v>
      </c>
    </row>
    <row r="27" spans="1:35" ht="24.95" customHeight="1" x14ac:dyDescent="0.3">
      <c r="A27" s="15">
        <v>742</v>
      </c>
      <c r="B27" s="16" t="s">
        <v>399</v>
      </c>
      <c r="C27" s="16" t="s">
        <v>97</v>
      </c>
      <c r="D27" s="16" t="s">
        <v>229</v>
      </c>
      <c r="E27" s="16" t="s">
        <v>271</v>
      </c>
      <c r="F27" s="16" t="s">
        <v>246</v>
      </c>
      <c r="G27" s="16" t="s">
        <v>297</v>
      </c>
      <c r="H27" s="16" t="s">
        <v>74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>
        <f>VLOOKUP(AB27,바코드찍는곳!B:C,2,0)</f>
        <v>2</v>
      </c>
      <c r="W27" s="15"/>
      <c r="X27" s="15"/>
      <c r="Y27" s="17" t="s">
        <v>75</v>
      </c>
      <c r="Z27" s="17" t="s">
        <v>75</v>
      </c>
      <c r="AA27" s="17" t="s">
        <v>75</v>
      </c>
      <c r="AB27" s="18" t="s">
        <v>351</v>
      </c>
      <c r="AC27" s="19" t="s">
        <v>81</v>
      </c>
      <c r="AD27" s="19" t="s">
        <v>76</v>
      </c>
      <c r="AE27" s="15">
        <v>0</v>
      </c>
      <c r="AF27" s="15"/>
      <c r="AG27" s="16" t="s">
        <v>113</v>
      </c>
      <c r="AH27" s="16" t="s">
        <v>78</v>
      </c>
      <c r="AI27" s="16" t="s">
        <v>79</v>
      </c>
    </row>
    <row r="28" spans="1:35" ht="24.95" customHeight="1" x14ac:dyDescent="0.3">
      <c r="A28" s="15">
        <v>892</v>
      </c>
      <c r="B28" s="16" t="s">
        <v>195</v>
      </c>
      <c r="C28" s="16" t="s">
        <v>216</v>
      </c>
      <c r="D28" s="16" t="s">
        <v>230</v>
      </c>
      <c r="E28" s="16" t="s">
        <v>272</v>
      </c>
      <c r="F28" s="16" t="s">
        <v>247</v>
      </c>
      <c r="G28" s="16" t="s">
        <v>298</v>
      </c>
      <c r="H28" s="16" t="s">
        <v>74</v>
      </c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>
        <f>VLOOKUP(AB28,바코드찍는곳!B:C,2,0)</f>
        <v>1</v>
      </c>
      <c r="W28" s="15"/>
      <c r="X28" s="15"/>
      <c r="Y28" s="17" t="s">
        <v>75</v>
      </c>
      <c r="Z28" s="17" t="s">
        <v>75</v>
      </c>
      <c r="AA28" s="17" t="s">
        <v>75</v>
      </c>
      <c r="AB28" s="18" t="s">
        <v>368</v>
      </c>
      <c r="AC28" s="19" t="s">
        <v>81</v>
      </c>
      <c r="AD28" s="19" t="s">
        <v>76</v>
      </c>
      <c r="AE28" s="15">
        <v>0</v>
      </c>
      <c r="AF28" s="15"/>
      <c r="AG28" s="16" t="s">
        <v>95</v>
      </c>
      <c r="AH28" s="16" t="s">
        <v>78</v>
      </c>
      <c r="AI28" s="16" t="s">
        <v>79</v>
      </c>
    </row>
    <row r="29" spans="1:35" ht="24.95" customHeight="1" x14ac:dyDescent="0.3">
      <c r="A29" s="15">
        <v>917</v>
      </c>
      <c r="B29" s="16" t="s">
        <v>196</v>
      </c>
      <c r="C29" s="16" t="s">
        <v>217</v>
      </c>
      <c r="D29" s="16" t="s">
        <v>231</v>
      </c>
      <c r="E29" s="16" t="s">
        <v>273</v>
      </c>
      <c r="F29" s="16" t="s">
        <v>248</v>
      </c>
      <c r="G29" s="16" t="s">
        <v>299</v>
      </c>
      <c r="H29" s="16" t="s">
        <v>74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>
        <f>VLOOKUP(AB29,바코드찍는곳!B:C,2,0)</f>
        <v>2</v>
      </c>
      <c r="W29" s="15"/>
      <c r="X29" s="15"/>
      <c r="Y29" s="17" t="s">
        <v>75</v>
      </c>
      <c r="Z29" s="17" t="s">
        <v>75</v>
      </c>
      <c r="AA29" s="17" t="s">
        <v>75</v>
      </c>
      <c r="AB29" s="18" t="s">
        <v>361</v>
      </c>
      <c r="AC29" s="19" t="s">
        <v>81</v>
      </c>
      <c r="AD29" s="19" t="s">
        <v>76</v>
      </c>
      <c r="AE29" s="15">
        <v>0</v>
      </c>
      <c r="AF29" s="15"/>
      <c r="AG29" s="16" t="s">
        <v>95</v>
      </c>
      <c r="AH29" s="16" t="s">
        <v>78</v>
      </c>
      <c r="AI29" s="16" t="s">
        <v>79</v>
      </c>
    </row>
    <row r="30" spans="1:35" ht="24.95" customHeight="1" x14ac:dyDescent="0.3">
      <c r="A30" s="15">
        <v>1005</v>
      </c>
      <c r="B30" s="16" t="s">
        <v>197</v>
      </c>
      <c r="C30" s="16" t="s">
        <v>96</v>
      </c>
      <c r="D30" s="16" t="s">
        <v>234</v>
      </c>
      <c r="E30" s="16" t="s">
        <v>274</v>
      </c>
      <c r="F30" s="16" t="s">
        <v>249</v>
      </c>
      <c r="G30" s="16" t="s">
        <v>300</v>
      </c>
      <c r="H30" s="16" t="s">
        <v>74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>
        <f>VLOOKUP(AB30,바코드찍는곳!B:C,2,0)</f>
        <v>1</v>
      </c>
      <c r="W30" s="15"/>
      <c r="X30" s="15"/>
      <c r="Y30" s="17" t="s">
        <v>75</v>
      </c>
      <c r="Z30" s="17" t="s">
        <v>75</v>
      </c>
      <c r="AA30" s="17" t="s">
        <v>75</v>
      </c>
      <c r="AB30" s="18" t="s">
        <v>378</v>
      </c>
      <c r="AC30" s="19" t="s">
        <v>81</v>
      </c>
      <c r="AD30" s="19" t="s">
        <v>76</v>
      </c>
      <c r="AE30" s="15">
        <v>0</v>
      </c>
      <c r="AF30" s="15"/>
      <c r="AG30" s="16" t="s">
        <v>345</v>
      </c>
      <c r="AH30" s="16" t="s">
        <v>78</v>
      </c>
      <c r="AI30" s="16" t="s">
        <v>79</v>
      </c>
    </row>
    <row r="31" spans="1:35" ht="24.95" customHeight="1" x14ac:dyDescent="0.3">
      <c r="A31" s="15">
        <v>1008</v>
      </c>
      <c r="B31" s="16" t="s">
        <v>197</v>
      </c>
      <c r="C31" s="16" t="s">
        <v>82</v>
      </c>
      <c r="D31" s="16" t="s">
        <v>234</v>
      </c>
      <c r="E31" s="16" t="s">
        <v>274</v>
      </c>
      <c r="F31" s="16" t="s">
        <v>249</v>
      </c>
      <c r="G31" s="16" t="s">
        <v>301</v>
      </c>
      <c r="H31" s="16" t="s">
        <v>74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>
        <f>VLOOKUP(AB31,바코드찍는곳!B:C,2,0)</f>
        <v>1</v>
      </c>
      <c r="W31" s="15"/>
      <c r="X31" s="15"/>
      <c r="Y31" s="17" t="s">
        <v>75</v>
      </c>
      <c r="Z31" s="17" t="s">
        <v>75</v>
      </c>
      <c r="AA31" s="17" t="s">
        <v>75</v>
      </c>
      <c r="AB31" s="18" t="s">
        <v>347</v>
      </c>
      <c r="AC31" s="19" t="s">
        <v>81</v>
      </c>
      <c r="AD31" s="19" t="s">
        <v>76</v>
      </c>
      <c r="AE31" s="15">
        <v>0</v>
      </c>
      <c r="AF31" s="15"/>
      <c r="AG31" s="16" t="s">
        <v>345</v>
      </c>
      <c r="AH31" s="16" t="s">
        <v>78</v>
      </c>
      <c r="AI31" s="16" t="s">
        <v>79</v>
      </c>
    </row>
    <row r="32" spans="1:35" ht="24.95" customHeight="1" x14ac:dyDescent="0.3">
      <c r="A32" s="15">
        <v>1020</v>
      </c>
      <c r="B32" s="16" t="s">
        <v>197</v>
      </c>
      <c r="C32" s="16" t="s">
        <v>218</v>
      </c>
      <c r="D32" s="16" t="s">
        <v>234</v>
      </c>
      <c r="E32" s="16" t="s">
        <v>274</v>
      </c>
      <c r="F32" s="16" t="s">
        <v>249</v>
      </c>
      <c r="G32" s="16" t="s">
        <v>302</v>
      </c>
      <c r="H32" s="16" t="s">
        <v>74</v>
      </c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>
        <f>VLOOKUP(AB32,바코드찍는곳!B:C,2,0)</f>
        <v>1</v>
      </c>
      <c r="W32" s="15"/>
      <c r="X32" s="15"/>
      <c r="Y32" s="17" t="s">
        <v>75</v>
      </c>
      <c r="Z32" s="17" t="s">
        <v>75</v>
      </c>
      <c r="AA32" s="17" t="s">
        <v>75</v>
      </c>
      <c r="AB32" s="18" t="s">
        <v>379</v>
      </c>
      <c r="AC32" s="19" t="s">
        <v>81</v>
      </c>
      <c r="AD32" s="19" t="s">
        <v>76</v>
      </c>
      <c r="AE32" s="15">
        <v>0</v>
      </c>
      <c r="AF32" s="15"/>
      <c r="AG32" s="16" t="s">
        <v>345</v>
      </c>
      <c r="AH32" s="16" t="s">
        <v>78</v>
      </c>
      <c r="AI32" s="16" t="s">
        <v>79</v>
      </c>
    </row>
    <row r="33" spans="1:35" ht="24.95" customHeight="1" x14ac:dyDescent="0.3">
      <c r="A33" s="15">
        <v>1066</v>
      </c>
      <c r="B33" s="16" t="s">
        <v>401</v>
      </c>
      <c r="C33" s="16" t="s">
        <v>85</v>
      </c>
      <c r="D33" s="16" t="s">
        <v>235</v>
      </c>
      <c r="E33" s="16" t="s">
        <v>275</v>
      </c>
      <c r="F33" s="16" t="s">
        <v>250</v>
      </c>
      <c r="G33" s="16" t="s">
        <v>303</v>
      </c>
      <c r="H33" s="16" t="s">
        <v>74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>
        <f>VLOOKUP(AB33,바코드찍는곳!B:C,2,0)</f>
        <v>2</v>
      </c>
      <c r="W33" s="15"/>
      <c r="X33" s="15"/>
      <c r="Y33" s="17" t="s">
        <v>75</v>
      </c>
      <c r="Z33" s="17" t="s">
        <v>75</v>
      </c>
      <c r="AA33" s="17" t="s">
        <v>75</v>
      </c>
      <c r="AB33" s="18" t="s">
        <v>352</v>
      </c>
      <c r="AC33" s="19" t="s">
        <v>81</v>
      </c>
      <c r="AD33" s="19" t="s">
        <v>76</v>
      </c>
      <c r="AE33" s="15">
        <v>0</v>
      </c>
      <c r="AF33" s="15"/>
      <c r="AG33" s="16" t="s">
        <v>345</v>
      </c>
      <c r="AH33" s="16" t="s">
        <v>78</v>
      </c>
      <c r="AI33" s="16" t="s">
        <v>79</v>
      </c>
    </row>
    <row r="34" spans="1:35" ht="24.95" customHeight="1" x14ac:dyDescent="0.3">
      <c r="A34" s="15">
        <v>1165</v>
      </c>
      <c r="B34" s="16" t="s">
        <v>198</v>
      </c>
      <c r="C34" s="16" t="s">
        <v>98</v>
      </c>
      <c r="D34" s="16" t="s">
        <v>109</v>
      </c>
      <c r="E34" s="16">
        <v>7551469719</v>
      </c>
      <c r="F34" s="16" t="s">
        <v>251</v>
      </c>
      <c r="G34" s="16" t="s">
        <v>304</v>
      </c>
      <c r="H34" s="16" t="s">
        <v>74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>
        <f>VLOOKUP(AB34,바코드찍는곳!B:C,2,0)</f>
        <v>1</v>
      </c>
      <c r="W34" s="15"/>
      <c r="X34" s="15"/>
      <c r="Y34" s="17" t="s">
        <v>75</v>
      </c>
      <c r="Z34" s="17" t="s">
        <v>75</v>
      </c>
      <c r="AA34" s="17" t="s">
        <v>75</v>
      </c>
      <c r="AB34" s="18" t="s">
        <v>362</v>
      </c>
      <c r="AC34" s="19" t="s">
        <v>81</v>
      </c>
      <c r="AD34" s="19" t="s">
        <v>76</v>
      </c>
      <c r="AE34" s="15">
        <v>0</v>
      </c>
      <c r="AF34" s="15"/>
      <c r="AG34" s="16" t="s">
        <v>105</v>
      </c>
      <c r="AH34" s="16" t="s">
        <v>78</v>
      </c>
      <c r="AI34" s="16" t="s">
        <v>79</v>
      </c>
    </row>
    <row r="35" spans="1:35" ht="24.95" customHeight="1" x14ac:dyDescent="0.3">
      <c r="A35" s="15">
        <v>1184</v>
      </c>
      <c r="B35" s="16" t="s">
        <v>198</v>
      </c>
      <c r="C35" s="16" t="s">
        <v>220</v>
      </c>
      <c r="D35" s="16" t="s">
        <v>109</v>
      </c>
      <c r="E35" s="16">
        <v>7551469719</v>
      </c>
      <c r="F35" s="16" t="s">
        <v>251</v>
      </c>
      <c r="G35" s="16" t="s">
        <v>305</v>
      </c>
      <c r="H35" s="16" t="s">
        <v>74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>
        <f>VLOOKUP(AB35,바코드찍는곳!B:C,2,0)</f>
        <v>1</v>
      </c>
      <c r="W35" s="15"/>
      <c r="X35" s="15"/>
      <c r="Y35" s="17" t="s">
        <v>75</v>
      </c>
      <c r="Z35" s="17" t="s">
        <v>75</v>
      </c>
      <c r="AA35" s="17" t="s">
        <v>75</v>
      </c>
      <c r="AB35" s="18" t="s">
        <v>363</v>
      </c>
      <c r="AC35" s="19" t="s">
        <v>81</v>
      </c>
      <c r="AD35" s="19" t="s">
        <v>76</v>
      </c>
      <c r="AE35" s="15">
        <v>0</v>
      </c>
      <c r="AF35" s="15"/>
      <c r="AG35" s="16" t="s">
        <v>105</v>
      </c>
      <c r="AH35" s="16" t="s">
        <v>78</v>
      </c>
      <c r="AI35" s="16" t="s">
        <v>79</v>
      </c>
    </row>
    <row r="36" spans="1:35" ht="24.95" customHeight="1" x14ac:dyDescent="0.3">
      <c r="A36" s="15">
        <v>1201</v>
      </c>
      <c r="B36" s="16" t="s">
        <v>199</v>
      </c>
      <c r="C36" s="16" t="s">
        <v>219</v>
      </c>
      <c r="D36" s="16" t="s">
        <v>236</v>
      </c>
      <c r="E36" s="16" t="s">
        <v>276</v>
      </c>
      <c r="F36" s="16" t="s">
        <v>252</v>
      </c>
      <c r="G36" s="16" t="s">
        <v>306</v>
      </c>
      <c r="H36" s="16" t="s">
        <v>74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>
        <f>VLOOKUP(AB36,바코드찍는곳!B:C,2,0)</f>
        <v>1</v>
      </c>
      <c r="W36" s="15"/>
      <c r="X36" s="15"/>
      <c r="Y36" s="17" t="s">
        <v>75</v>
      </c>
      <c r="Z36" s="17" t="s">
        <v>75</v>
      </c>
      <c r="AA36" s="17" t="s">
        <v>75</v>
      </c>
      <c r="AB36" s="18" t="s">
        <v>360</v>
      </c>
      <c r="AC36" s="19" t="s">
        <v>81</v>
      </c>
      <c r="AD36" s="19" t="s">
        <v>76</v>
      </c>
      <c r="AE36" s="15">
        <v>0</v>
      </c>
      <c r="AF36" s="15"/>
      <c r="AG36" s="16" t="s">
        <v>345</v>
      </c>
      <c r="AH36" s="16" t="s">
        <v>78</v>
      </c>
      <c r="AI36" s="16" t="s">
        <v>79</v>
      </c>
    </row>
    <row r="37" spans="1:35" ht="24.95" customHeight="1" x14ac:dyDescent="0.3">
      <c r="A37" s="15">
        <v>1339</v>
      </c>
      <c r="B37" s="16" t="s">
        <v>400</v>
      </c>
      <c r="C37" s="16" t="s">
        <v>89</v>
      </c>
      <c r="D37" s="16" t="s">
        <v>237</v>
      </c>
      <c r="E37" s="16" t="s">
        <v>277</v>
      </c>
      <c r="F37" s="16" t="s">
        <v>253</v>
      </c>
      <c r="G37" s="16" t="s">
        <v>307</v>
      </c>
      <c r="H37" s="16" t="s">
        <v>74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>
        <f>VLOOKUP(AB37,바코드찍는곳!B:C,2,0)</f>
        <v>2</v>
      </c>
      <c r="W37" s="15"/>
      <c r="X37" s="15"/>
      <c r="Y37" s="17" t="s">
        <v>75</v>
      </c>
      <c r="Z37" s="17" t="s">
        <v>75</v>
      </c>
      <c r="AA37" s="17" t="s">
        <v>75</v>
      </c>
      <c r="AB37" s="18" t="s">
        <v>350</v>
      </c>
      <c r="AC37" s="19" t="s">
        <v>81</v>
      </c>
      <c r="AD37" s="19" t="s">
        <v>76</v>
      </c>
      <c r="AE37" s="15">
        <v>0</v>
      </c>
      <c r="AF37" s="15"/>
      <c r="AG37" s="16" t="s">
        <v>108</v>
      </c>
      <c r="AH37" s="16" t="s">
        <v>78</v>
      </c>
      <c r="AI37" s="16" t="s">
        <v>79</v>
      </c>
    </row>
    <row r="38" spans="1:35" ht="24.95" customHeight="1" x14ac:dyDescent="0.3">
      <c r="A38" s="15">
        <v>1390</v>
      </c>
      <c r="B38" s="16" t="s">
        <v>200</v>
      </c>
      <c r="C38" s="16" t="s">
        <v>224</v>
      </c>
      <c r="D38" s="16" t="s">
        <v>153</v>
      </c>
      <c r="E38" s="16" t="s">
        <v>278</v>
      </c>
      <c r="F38" s="16" t="s">
        <v>254</v>
      </c>
      <c r="G38" s="16" t="s">
        <v>308</v>
      </c>
      <c r="H38" s="16" t="s">
        <v>74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>
        <f>VLOOKUP(AB38,바코드찍는곳!B:C,2,0)</f>
        <v>2</v>
      </c>
      <c r="W38" s="15"/>
      <c r="X38" s="15"/>
      <c r="Y38" s="17" t="s">
        <v>75</v>
      </c>
      <c r="Z38" s="17" t="s">
        <v>75</v>
      </c>
      <c r="AA38" s="17" t="s">
        <v>75</v>
      </c>
      <c r="AB38" s="18" t="s">
        <v>371</v>
      </c>
      <c r="AC38" s="19" t="s">
        <v>81</v>
      </c>
      <c r="AD38" s="19" t="s">
        <v>76</v>
      </c>
      <c r="AE38" s="15">
        <v>0</v>
      </c>
      <c r="AF38" s="15"/>
      <c r="AG38" s="16" t="s">
        <v>95</v>
      </c>
      <c r="AH38" s="16" t="s">
        <v>78</v>
      </c>
      <c r="AI38" s="16" t="s">
        <v>79</v>
      </c>
    </row>
    <row r="39" spans="1:35" ht="24.95" customHeight="1" x14ac:dyDescent="0.3">
      <c r="A39" s="15">
        <v>1393</v>
      </c>
      <c r="B39" s="16" t="s">
        <v>200</v>
      </c>
      <c r="C39" s="16" t="s">
        <v>225</v>
      </c>
      <c r="D39" s="16" t="s">
        <v>153</v>
      </c>
      <c r="E39" s="16" t="s">
        <v>278</v>
      </c>
      <c r="F39" s="16" t="s">
        <v>254</v>
      </c>
      <c r="G39" s="16" t="s">
        <v>309</v>
      </c>
      <c r="H39" s="16" t="s">
        <v>74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>
        <f>VLOOKUP(AB39,바코드찍는곳!B:C,2,0)</f>
        <v>2</v>
      </c>
      <c r="W39" s="15"/>
      <c r="X39" s="15"/>
      <c r="Y39" s="17" t="s">
        <v>75</v>
      </c>
      <c r="Z39" s="17" t="s">
        <v>75</v>
      </c>
      <c r="AA39" s="17" t="s">
        <v>75</v>
      </c>
      <c r="AB39" s="18" t="s">
        <v>372</v>
      </c>
      <c r="AC39" s="19" t="s">
        <v>81</v>
      </c>
      <c r="AD39" s="19" t="s">
        <v>76</v>
      </c>
      <c r="AE39" s="15">
        <v>0</v>
      </c>
      <c r="AF39" s="15"/>
      <c r="AG39" s="16" t="s">
        <v>95</v>
      </c>
      <c r="AH39" s="16" t="s">
        <v>78</v>
      </c>
      <c r="AI39" s="16" t="s">
        <v>79</v>
      </c>
    </row>
    <row r="40" spans="1:35" ht="24.95" customHeight="1" x14ac:dyDescent="0.3">
      <c r="A40" s="15">
        <v>1399</v>
      </c>
      <c r="B40" s="16" t="s">
        <v>200</v>
      </c>
      <c r="C40" s="16" t="s">
        <v>222</v>
      </c>
      <c r="D40" s="16" t="s">
        <v>153</v>
      </c>
      <c r="E40" s="16" t="s">
        <v>278</v>
      </c>
      <c r="F40" s="16" t="s">
        <v>254</v>
      </c>
      <c r="G40" s="16" t="s">
        <v>310</v>
      </c>
      <c r="H40" s="16" t="s">
        <v>74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>
        <f>VLOOKUP(AB40,바코드찍는곳!B:C,2,0)</f>
        <v>2</v>
      </c>
      <c r="W40" s="15"/>
      <c r="X40" s="15"/>
      <c r="Y40" s="17" t="s">
        <v>75</v>
      </c>
      <c r="Z40" s="17" t="s">
        <v>75</v>
      </c>
      <c r="AA40" s="17" t="s">
        <v>75</v>
      </c>
      <c r="AB40" s="18" t="s">
        <v>373</v>
      </c>
      <c r="AC40" s="19" t="s">
        <v>81</v>
      </c>
      <c r="AD40" s="19" t="s">
        <v>76</v>
      </c>
      <c r="AE40" s="15">
        <v>0</v>
      </c>
      <c r="AF40" s="15"/>
      <c r="AG40" s="16" t="s">
        <v>95</v>
      </c>
      <c r="AH40" s="16" t="s">
        <v>78</v>
      </c>
      <c r="AI40" s="16" t="s">
        <v>79</v>
      </c>
    </row>
    <row r="41" spans="1:35" ht="24.95" customHeight="1" x14ac:dyDescent="0.3">
      <c r="A41" s="15">
        <v>1403</v>
      </c>
      <c r="B41" s="16" t="s">
        <v>200</v>
      </c>
      <c r="C41" s="16" t="s">
        <v>223</v>
      </c>
      <c r="D41" s="16" t="s">
        <v>153</v>
      </c>
      <c r="E41" s="16" t="s">
        <v>278</v>
      </c>
      <c r="F41" s="16" t="s">
        <v>254</v>
      </c>
      <c r="G41" s="16" t="s">
        <v>311</v>
      </c>
      <c r="H41" s="16" t="s">
        <v>74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>
        <f>VLOOKUP(AB41,바코드찍는곳!B:C,2,0)</f>
        <v>2</v>
      </c>
      <c r="W41" s="15"/>
      <c r="X41" s="15"/>
      <c r="Y41" s="17" t="s">
        <v>75</v>
      </c>
      <c r="Z41" s="17" t="s">
        <v>75</v>
      </c>
      <c r="AA41" s="17" t="s">
        <v>75</v>
      </c>
      <c r="AB41" s="18" t="s">
        <v>374</v>
      </c>
      <c r="AC41" s="19" t="s">
        <v>81</v>
      </c>
      <c r="AD41" s="19" t="s">
        <v>76</v>
      </c>
      <c r="AE41" s="15">
        <v>0</v>
      </c>
      <c r="AF41" s="15"/>
      <c r="AG41" s="16" t="s">
        <v>95</v>
      </c>
      <c r="AH41" s="16" t="s">
        <v>78</v>
      </c>
      <c r="AI41" s="16" t="s">
        <v>79</v>
      </c>
    </row>
    <row r="42" spans="1:35" ht="24.95" customHeight="1" x14ac:dyDescent="0.3">
      <c r="A42" s="15">
        <v>1422</v>
      </c>
      <c r="B42" s="16" t="s">
        <v>201</v>
      </c>
      <c r="C42" s="16" t="s">
        <v>221</v>
      </c>
      <c r="D42" s="16" t="s">
        <v>238</v>
      </c>
      <c r="E42" s="16" t="s">
        <v>279</v>
      </c>
      <c r="F42" s="16" t="s">
        <v>255</v>
      </c>
      <c r="G42" s="16" t="s">
        <v>312</v>
      </c>
      <c r="H42" s="16" t="s">
        <v>74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>
        <f>VLOOKUP(AB42,바코드찍는곳!B:C,2,0)</f>
        <v>2</v>
      </c>
      <c r="W42" s="15"/>
      <c r="X42" s="15"/>
      <c r="Y42" s="17" t="s">
        <v>75</v>
      </c>
      <c r="Z42" s="17" t="s">
        <v>75</v>
      </c>
      <c r="AA42" s="17" t="s">
        <v>75</v>
      </c>
      <c r="AB42" s="18" t="s">
        <v>370</v>
      </c>
      <c r="AC42" s="19" t="s">
        <v>81</v>
      </c>
      <c r="AD42" s="19" t="s">
        <v>76</v>
      </c>
      <c r="AE42" s="15">
        <v>0</v>
      </c>
      <c r="AF42" s="15"/>
      <c r="AG42" s="16" t="s">
        <v>95</v>
      </c>
      <c r="AH42" s="16" t="s">
        <v>78</v>
      </c>
      <c r="AI42" s="16" t="s">
        <v>79</v>
      </c>
    </row>
    <row r="43" spans="1:35" ht="24.95" customHeight="1" x14ac:dyDescent="0.3">
      <c r="A43" s="15">
        <v>1453</v>
      </c>
      <c r="B43" s="16" t="s">
        <v>202</v>
      </c>
      <c r="C43" s="16" t="s">
        <v>97</v>
      </c>
      <c r="D43" s="16" t="s">
        <v>239</v>
      </c>
      <c r="E43" s="16" t="s">
        <v>280</v>
      </c>
      <c r="F43" s="16" t="s">
        <v>256</v>
      </c>
      <c r="G43" s="16" t="s">
        <v>313</v>
      </c>
      <c r="H43" s="16" t="s">
        <v>74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>
        <f>VLOOKUP(AB43,바코드찍는곳!B:C,2,0)</f>
        <v>2</v>
      </c>
      <c r="W43" s="15"/>
      <c r="X43" s="15"/>
      <c r="Y43" s="17" t="s">
        <v>75</v>
      </c>
      <c r="Z43" s="17" t="s">
        <v>75</v>
      </c>
      <c r="AA43" s="17" t="s">
        <v>75</v>
      </c>
      <c r="AB43" s="18" t="s">
        <v>369</v>
      </c>
      <c r="AC43" s="19" t="s">
        <v>81</v>
      </c>
      <c r="AD43" s="19" t="s">
        <v>76</v>
      </c>
      <c r="AE43" s="15">
        <v>0</v>
      </c>
      <c r="AF43" s="15"/>
      <c r="AG43" s="16" t="s">
        <v>95</v>
      </c>
      <c r="AH43" s="16" t="s">
        <v>78</v>
      </c>
      <c r="AI43" s="16" t="s">
        <v>79</v>
      </c>
    </row>
    <row r="44" spans="1:35" ht="24.95" customHeight="1" x14ac:dyDescent="0.3">
      <c r="A44" s="15">
        <v>1522</v>
      </c>
      <c r="B44" s="16" t="s">
        <v>203</v>
      </c>
      <c r="C44" s="16" t="s">
        <v>90</v>
      </c>
      <c r="D44" s="16" t="s">
        <v>111</v>
      </c>
      <c r="E44" s="16" t="s">
        <v>281</v>
      </c>
      <c r="F44" s="16" t="s">
        <v>257</v>
      </c>
      <c r="G44" s="16" t="s">
        <v>314</v>
      </c>
      <c r="H44" s="16" t="s">
        <v>74</v>
      </c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>
        <f>VLOOKUP(AB44,바코드찍는곳!B:C,2,0)</f>
        <v>1</v>
      </c>
      <c r="W44" s="15"/>
      <c r="X44" s="15"/>
      <c r="Y44" s="17" t="s">
        <v>75</v>
      </c>
      <c r="Z44" s="17" t="s">
        <v>75</v>
      </c>
      <c r="AA44" s="17" t="s">
        <v>75</v>
      </c>
      <c r="AB44" s="18" t="s">
        <v>364</v>
      </c>
      <c r="AC44" s="19" t="s">
        <v>81</v>
      </c>
      <c r="AD44" s="19" t="s">
        <v>76</v>
      </c>
      <c r="AE44" s="15">
        <v>0</v>
      </c>
      <c r="AF44" s="15"/>
      <c r="AG44" s="16" t="s">
        <v>108</v>
      </c>
      <c r="AH44" s="16" t="s">
        <v>78</v>
      </c>
      <c r="AI44" s="16" t="s">
        <v>79</v>
      </c>
    </row>
    <row r="45" spans="1:35" ht="24.95" customHeight="1" x14ac:dyDescent="0.3">
      <c r="A45" s="15">
        <v>1535</v>
      </c>
      <c r="B45" s="16" t="s">
        <v>204</v>
      </c>
      <c r="C45" s="16" t="s">
        <v>97</v>
      </c>
      <c r="D45" s="16" t="s">
        <v>240</v>
      </c>
      <c r="E45" s="16" t="s">
        <v>282</v>
      </c>
      <c r="F45" s="16" t="s">
        <v>258</v>
      </c>
      <c r="G45" s="16" t="s">
        <v>315</v>
      </c>
      <c r="H45" s="16" t="s">
        <v>74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>
        <f>VLOOKUP(AB45,바코드찍는곳!B:C,2,0)</f>
        <v>3</v>
      </c>
      <c r="W45" s="15"/>
      <c r="X45" s="15"/>
      <c r="Y45" s="17" t="s">
        <v>75</v>
      </c>
      <c r="Z45" s="17" t="s">
        <v>75</v>
      </c>
      <c r="AA45" s="17" t="s">
        <v>75</v>
      </c>
      <c r="AB45" s="18" t="s">
        <v>357</v>
      </c>
      <c r="AC45" s="19" t="s">
        <v>81</v>
      </c>
      <c r="AD45" s="19" t="s">
        <v>76</v>
      </c>
      <c r="AE45" s="15">
        <v>0</v>
      </c>
      <c r="AF45" s="15"/>
      <c r="AG45" s="16" t="s">
        <v>108</v>
      </c>
      <c r="AH45" s="16" t="s">
        <v>78</v>
      </c>
      <c r="AI45" s="16" t="s">
        <v>79</v>
      </c>
    </row>
    <row r="46" spans="1:35" ht="24.95" customHeight="1" x14ac:dyDescent="0.3">
      <c r="A46" s="15">
        <v>1537</v>
      </c>
      <c r="B46" s="16" t="s">
        <v>204</v>
      </c>
      <c r="C46" s="16" t="s">
        <v>99</v>
      </c>
      <c r="D46" s="16" t="s">
        <v>240</v>
      </c>
      <c r="E46" s="16" t="s">
        <v>282</v>
      </c>
      <c r="F46" s="16" t="s">
        <v>258</v>
      </c>
      <c r="G46" s="16" t="s">
        <v>316</v>
      </c>
      <c r="H46" s="16" t="s">
        <v>74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>
        <f>VLOOKUP(AB46,바코드찍는곳!B:C,2,0)</f>
        <v>2</v>
      </c>
      <c r="W46" s="15"/>
      <c r="X46" s="15"/>
      <c r="Y46" s="17" t="s">
        <v>75</v>
      </c>
      <c r="Z46" s="17" t="s">
        <v>75</v>
      </c>
      <c r="AA46" s="17" t="s">
        <v>75</v>
      </c>
      <c r="AB46" s="18" t="s">
        <v>358</v>
      </c>
      <c r="AC46" s="19" t="s">
        <v>81</v>
      </c>
      <c r="AD46" s="19" t="s">
        <v>76</v>
      </c>
      <c r="AE46" s="15">
        <v>0</v>
      </c>
      <c r="AF46" s="15"/>
      <c r="AG46" s="16" t="s">
        <v>108</v>
      </c>
      <c r="AH46" s="16" t="s">
        <v>78</v>
      </c>
      <c r="AI46" s="16" t="s">
        <v>79</v>
      </c>
    </row>
    <row r="47" spans="1:35" ht="24.95" customHeight="1" x14ac:dyDescent="0.3">
      <c r="A47" s="15">
        <v>1544</v>
      </c>
      <c r="B47" s="16" t="s">
        <v>204</v>
      </c>
      <c r="C47" s="16" t="s">
        <v>101</v>
      </c>
      <c r="D47" s="16" t="s">
        <v>240</v>
      </c>
      <c r="E47" s="16" t="s">
        <v>282</v>
      </c>
      <c r="F47" s="16" t="s">
        <v>258</v>
      </c>
      <c r="G47" s="16" t="s">
        <v>317</v>
      </c>
      <c r="H47" s="16" t="s">
        <v>74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>
        <f>VLOOKUP(AB47,바코드찍는곳!B:C,2,0)</f>
        <v>2</v>
      </c>
      <c r="W47" s="15"/>
      <c r="X47" s="15"/>
      <c r="Y47" s="17" t="s">
        <v>75</v>
      </c>
      <c r="Z47" s="17" t="s">
        <v>75</v>
      </c>
      <c r="AA47" s="17" t="s">
        <v>75</v>
      </c>
      <c r="AB47" s="18" t="s">
        <v>356</v>
      </c>
      <c r="AC47" s="19" t="s">
        <v>81</v>
      </c>
      <c r="AD47" s="19" t="s">
        <v>76</v>
      </c>
      <c r="AE47" s="15">
        <v>0</v>
      </c>
      <c r="AF47" s="15"/>
      <c r="AG47" s="16" t="s">
        <v>108</v>
      </c>
      <c r="AH47" s="16" t="s">
        <v>78</v>
      </c>
      <c r="AI47" s="16" t="s">
        <v>79</v>
      </c>
    </row>
    <row r="48" spans="1:35" ht="24.95" customHeight="1" x14ac:dyDescent="0.3">
      <c r="A48" s="15">
        <v>1549</v>
      </c>
      <c r="B48" s="16" t="s">
        <v>204</v>
      </c>
      <c r="C48" s="16" t="s">
        <v>90</v>
      </c>
      <c r="D48" s="16" t="s">
        <v>240</v>
      </c>
      <c r="E48" s="16" t="s">
        <v>282</v>
      </c>
      <c r="F48" s="16" t="s">
        <v>258</v>
      </c>
      <c r="G48" s="16" t="s">
        <v>318</v>
      </c>
      <c r="H48" s="16" t="s">
        <v>74</v>
      </c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>
        <f>VLOOKUP(AB48,바코드찍는곳!B:C,2,0)</f>
        <v>1</v>
      </c>
      <c r="W48" s="15"/>
      <c r="X48" s="15"/>
      <c r="Y48" s="17" t="s">
        <v>75</v>
      </c>
      <c r="Z48" s="17" t="s">
        <v>75</v>
      </c>
      <c r="AA48" s="17" t="s">
        <v>75</v>
      </c>
      <c r="AB48" s="18" t="s">
        <v>359</v>
      </c>
      <c r="AC48" s="19" t="s">
        <v>81</v>
      </c>
      <c r="AD48" s="19" t="s">
        <v>76</v>
      </c>
      <c r="AE48" s="15">
        <v>0</v>
      </c>
      <c r="AF48" s="15"/>
      <c r="AG48" s="16" t="s">
        <v>108</v>
      </c>
      <c r="AH48" s="16" t="s">
        <v>78</v>
      </c>
      <c r="AI48" s="16" t="s">
        <v>79</v>
      </c>
    </row>
    <row r="49" spans="1:35" ht="24.95" customHeight="1" x14ac:dyDescent="0.3">
      <c r="A49" s="15">
        <v>1634</v>
      </c>
      <c r="B49" s="16" t="s">
        <v>205</v>
      </c>
      <c r="C49" s="16" t="s">
        <v>97</v>
      </c>
      <c r="D49" s="16" t="s">
        <v>232</v>
      </c>
      <c r="E49" s="16" t="s">
        <v>283</v>
      </c>
      <c r="F49" s="16" t="s">
        <v>259</v>
      </c>
      <c r="G49" s="16" t="s">
        <v>319</v>
      </c>
      <c r="H49" s="16" t="s">
        <v>74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>
        <f>VLOOKUP(AB49,바코드찍는곳!B:C,2,0)</f>
        <v>2</v>
      </c>
      <c r="W49" s="15"/>
      <c r="X49" s="15"/>
      <c r="Y49" s="17" t="s">
        <v>75</v>
      </c>
      <c r="Z49" s="17" t="s">
        <v>75</v>
      </c>
      <c r="AA49" s="17" t="s">
        <v>75</v>
      </c>
      <c r="AB49" s="18" t="s">
        <v>380</v>
      </c>
      <c r="AC49" s="19" t="s">
        <v>81</v>
      </c>
      <c r="AD49" s="19" t="s">
        <v>76</v>
      </c>
      <c r="AE49" s="15">
        <v>0</v>
      </c>
      <c r="AF49" s="15"/>
      <c r="AG49" s="16" t="s">
        <v>345</v>
      </c>
      <c r="AH49" s="16" t="s">
        <v>78</v>
      </c>
      <c r="AI49" s="16" t="s">
        <v>79</v>
      </c>
    </row>
    <row r="50" spans="1:35" ht="24.95" customHeight="1" x14ac:dyDescent="0.3">
      <c r="A50" s="15">
        <v>1635</v>
      </c>
      <c r="B50" s="16" t="s">
        <v>205</v>
      </c>
      <c r="C50" s="16" t="s">
        <v>98</v>
      </c>
      <c r="D50" s="16" t="s">
        <v>232</v>
      </c>
      <c r="E50" s="16" t="s">
        <v>283</v>
      </c>
      <c r="F50" s="16" t="s">
        <v>259</v>
      </c>
      <c r="G50" s="16" t="s">
        <v>320</v>
      </c>
      <c r="H50" s="16" t="s">
        <v>74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>
        <f>VLOOKUP(AB50,바코드찍는곳!B:C,2,0)</f>
        <v>1</v>
      </c>
      <c r="W50" s="15"/>
      <c r="X50" s="15"/>
      <c r="Y50" s="17" t="s">
        <v>75</v>
      </c>
      <c r="Z50" s="17" t="s">
        <v>75</v>
      </c>
      <c r="AA50" s="17" t="s">
        <v>75</v>
      </c>
      <c r="AB50" s="18" t="s">
        <v>381</v>
      </c>
      <c r="AC50" s="19" t="s">
        <v>81</v>
      </c>
      <c r="AD50" s="19" t="s">
        <v>76</v>
      </c>
      <c r="AE50" s="15">
        <v>0</v>
      </c>
      <c r="AF50" s="15"/>
      <c r="AG50" s="16" t="s">
        <v>345</v>
      </c>
      <c r="AH50" s="16" t="s">
        <v>78</v>
      </c>
      <c r="AI50" s="16" t="s">
        <v>79</v>
      </c>
    </row>
    <row r="51" spans="1:35" ht="24.95" customHeight="1" x14ac:dyDescent="0.3">
      <c r="A51" s="15">
        <v>1699</v>
      </c>
      <c r="B51" s="16" t="s">
        <v>206</v>
      </c>
      <c r="C51" s="16" t="s">
        <v>103</v>
      </c>
      <c r="D51" s="16" t="s">
        <v>241</v>
      </c>
      <c r="E51" s="16" t="s">
        <v>284</v>
      </c>
      <c r="F51" s="16" t="s">
        <v>260</v>
      </c>
      <c r="G51" s="16" t="s">
        <v>321</v>
      </c>
      <c r="H51" s="16" t="s">
        <v>74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>
        <f>VLOOKUP(AB51,바코드찍는곳!B:C,2,0)</f>
        <v>1</v>
      </c>
      <c r="W51" s="15"/>
      <c r="X51" s="15"/>
      <c r="Y51" s="17" t="s">
        <v>75</v>
      </c>
      <c r="Z51" s="17" t="s">
        <v>75</v>
      </c>
      <c r="AA51" s="17" t="s">
        <v>75</v>
      </c>
      <c r="AB51" s="18" t="s">
        <v>382</v>
      </c>
      <c r="AC51" s="19" t="s">
        <v>81</v>
      </c>
      <c r="AD51" s="19" t="s">
        <v>76</v>
      </c>
      <c r="AE51" s="15">
        <v>0</v>
      </c>
      <c r="AF51" s="15"/>
      <c r="AG51" s="16" t="s">
        <v>95</v>
      </c>
      <c r="AH51" s="16" t="s">
        <v>78</v>
      </c>
      <c r="AI51" s="16" t="s">
        <v>79</v>
      </c>
    </row>
    <row r="52" spans="1:35" ht="24.95" customHeight="1" x14ac:dyDescent="0.3">
      <c r="A52" s="15">
        <v>1708</v>
      </c>
      <c r="B52" s="16" t="s">
        <v>206</v>
      </c>
      <c r="C52" s="16" t="s">
        <v>226</v>
      </c>
      <c r="D52" s="16" t="s">
        <v>241</v>
      </c>
      <c r="E52" s="16" t="s">
        <v>284</v>
      </c>
      <c r="F52" s="16" t="s">
        <v>260</v>
      </c>
      <c r="G52" s="16" t="s">
        <v>322</v>
      </c>
      <c r="H52" s="16" t="s">
        <v>74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>
        <f>VLOOKUP(AB52,바코드찍는곳!B:C,2,0)</f>
        <v>2</v>
      </c>
      <c r="W52" s="15"/>
      <c r="X52" s="15"/>
      <c r="Y52" s="17" t="s">
        <v>75</v>
      </c>
      <c r="Z52" s="17" t="s">
        <v>75</v>
      </c>
      <c r="AA52" s="17" t="s">
        <v>75</v>
      </c>
      <c r="AB52" s="18" t="s">
        <v>383</v>
      </c>
      <c r="AC52" s="19" t="s">
        <v>81</v>
      </c>
      <c r="AD52" s="19" t="s">
        <v>76</v>
      </c>
      <c r="AE52" s="15">
        <v>0</v>
      </c>
      <c r="AF52" s="15"/>
      <c r="AG52" s="16" t="s">
        <v>95</v>
      </c>
      <c r="AH52" s="16" t="s">
        <v>78</v>
      </c>
      <c r="AI52" s="16" t="s">
        <v>79</v>
      </c>
    </row>
    <row r="53" spans="1:35" ht="24.95" customHeight="1" x14ac:dyDescent="0.3">
      <c r="A53" s="15">
        <v>1810</v>
      </c>
      <c r="B53" s="16" t="s">
        <v>207</v>
      </c>
      <c r="C53" s="16" t="s">
        <v>84</v>
      </c>
      <c r="D53" s="16" t="s">
        <v>230</v>
      </c>
      <c r="E53" s="16" t="s">
        <v>285</v>
      </c>
      <c r="F53" s="16" t="s">
        <v>261</v>
      </c>
      <c r="G53" s="16" t="s">
        <v>323</v>
      </c>
      <c r="H53" s="16" t="s">
        <v>74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>
        <f>VLOOKUP(AB53,바코드찍는곳!B:C,2,0)</f>
        <v>2</v>
      </c>
      <c r="W53" s="15"/>
      <c r="X53" s="15"/>
      <c r="Y53" s="17" t="s">
        <v>75</v>
      </c>
      <c r="Z53" s="17" t="s">
        <v>75</v>
      </c>
      <c r="AA53" s="17" t="s">
        <v>75</v>
      </c>
      <c r="AB53" s="18" t="s">
        <v>375</v>
      </c>
      <c r="AC53" s="19" t="s">
        <v>81</v>
      </c>
      <c r="AD53" s="19" t="s">
        <v>76</v>
      </c>
      <c r="AE53" s="15">
        <v>0</v>
      </c>
      <c r="AF53" s="15"/>
      <c r="AG53" s="16" t="s">
        <v>345</v>
      </c>
      <c r="AH53" s="16" t="s">
        <v>78</v>
      </c>
      <c r="AI53" s="16" t="s">
        <v>79</v>
      </c>
    </row>
    <row r="54" spans="1:35" ht="24.95" customHeight="1" x14ac:dyDescent="0.3">
      <c r="A54" s="15">
        <v>1829</v>
      </c>
      <c r="B54" s="16" t="s">
        <v>208</v>
      </c>
      <c r="C54" s="16" t="s">
        <v>100</v>
      </c>
      <c r="D54" s="16" t="s">
        <v>242</v>
      </c>
      <c r="E54" s="16" t="s">
        <v>286</v>
      </c>
      <c r="F54" s="16" t="s">
        <v>262</v>
      </c>
      <c r="G54" s="16" t="s">
        <v>324</v>
      </c>
      <c r="H54" s="16" t="s">
        <v>74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>
        <f>VLOOKUP(AB54,바코드찍는곳!B:C,2,0)</f>
        <v>2</v>
      </c>
      <c r="W54" s="15"/>
      <c r="X54" s="15"/>
      <c r="Y54" s="17" t="s">
        <v>75</v>
      </c>
      <c r="Z54" s="17" t="s">
        <v>75</v>
      </c>
      <c r="AA54" s="17" t="s">
        <v>75</v>
      </c>
      <c r="AB54" s="18" t="s">
        <v>367</v>
      </c>
      <c r="AC54" s="19" t="s">
        <v>81</v>
      </c>
      <c r="AD54" s="19" t="s">
        <v>76</v>
      </c>
      <c r="AE54" s="15">
        <v>0</v>
      </c>
      <c r="AF54" s="15"/>
      <c r="AG54" s="16" t="s">
        <v>110</v>
      </c>
      <c r="AH54" s="16" t="s">
        <v>78</v>
      </c>
      <c r="AI54" s="16" t="s">
        <v>79</v>
      </c>
    </row>
    <row r="55" spans="1:35" ht="24.95" customHeight="1" x14ac:dyDescent="0.3">
      <c r="A55" s="15">
        <v>1950</v>
      </c>
      <c r="B55" s="16" t="s">
        <v>209</v>
      </c>
      <c r="C55" s="16" t="s">
        <v>83</v>
      </c>
      <c r="D55" s="16" t="s">
        <v>243</v>
      </c>
      <c r="E55" s="16" t="s">
        <v>287</v>
      </c>
      <c r="F55" s="16" t="s">
        <v>263</v>
      </c>
      <c r="G55" s="16" t="s">
        <v>325</v>
      </c>
      <c r="H55" s="16" t="s">
        <v>74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>
        <f>VLOOKUP(AB55,바코드찍는곳!B:C,2,0)</f>
        <v>2</v>
      </c>
      <c r="W55" s="15"/>
      <c r="X55" s="15"/>
      <c r="Y55" s="17" t="s">
        <v>75</v>
      </c>
      <c r="Z55" s="17" t="s">
        <v>75</v>
      </c>
      <c r="AA55" s="17" t="s">
        <v>75</v>
      </c>
      <c r="AB55" s="18" t="s">
        <v>376</v>
      </c>
      <c r="AC55" s="19" t="s">
        <v>81</v>
      </c>
      <c r="AD55" s="19" t="s">
        <v>76</v>
      </c>
      <c r="AE55" s="15">
        <v>0</v>
      </c>
      <c r="AF55" s="15"/>
      <c r="AG55" s="16" t="s">
        <v>345</v>
      </c>
      <c r="AH55" s="16" t="s">
        <v>78</v>
      </c>
      <c r="AI55" s="16" t="s">
        <v>79</v>
      </c>
    </row>
    <row r="56" spans="1:35" ht="24.95" customHeight="1" x14ac:dyDescent="0.3">
      <c r="A56" s="15">
        <v>2026</v>
      </c>
      <c r="B56" s="16" t="s">
        <v>210</v>
      </c>
      <c r="C56" s="16" t="s">
        <v>99</v>
      </c>
      <c r="D56" s="16" t="s">
        <v>232</v>
      </c>
      <c r="E56" s="16" t="s">
        <v>288</v>
      </c>
      <c r="F56" s="16" t="s">
        <v>264</v>
      </c>
      <c r="G56" s="16" t="s">
        <v>326</v>
      </c>
      <c r="H56" s="16" t="s">
        <v>74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>
        <f>VLOOKUP(AB56,바코드찍는곳!B:C,2,0)</f>
        <v>2</v>
      </c>
      <c r="W56" s="15"/>
      <c r="X56" s="15"/>
      <c r="Y56" s="17" t="s">
        <v>75</v>
      </c>
      <c r="Z56" s="17" t="s">
        <v>75</v>
      </c>
      <c r="AA56" s="17" t="s">
        <v>75</v>
      </c>
      <c r="AB56" s="18" t="s">
        <v>355</v>
      </c>
      <c r="AC56" s="19" t="s">
        <v>81</v>
      </c>
      <c r="AD56" s="19" t="s">
        <v>76</v>
      </c>
      <c r="AE56" s="15">
        <v>0</v>
      </c>
      <c r="AF56" s="15"/>
      <c r="AG56" s="16" t="s">
        <v>345</v>
      </c>
      <c r="AH56" s="16" t="s">
        <v>78</v>
      </c>
      <c r="AI56" s="16" t="s">
        <v>79</v>
      </c>
    </row>
    <row r="57" spans="1:35" ht="24.95" customHeight="1" x14ac:dyDescent="0.3">
      <c r="A57" s="15">
        <v>2034</v>
      </c>
      <c r="B57" s="16" t="s">
        <v>210</v>
      </c>
      <c r="C57" s="16" t="s">
        <v>102</v>
      </c>
      <c r="D57" s="16" t="s">
        <v>232</v>
      </c>
      <c r="E57" s="16" t="s">
        <v>288</v>
      </c>
      <c r="F57" s="16" t="s">
        <v>264</v>
      </c>
      <c r="G57" s="16" t="s">
        <v>327</v>
      </c>
      <c r="H57" s="16" t="s">
        <v>74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>
        <f>VLOOKUP(AB57,바코드찍는곳!B:C,2,0)</f>
        <v>2</v>
      </c>
      <c r="W57" s="15"/>
      <c r="X57" s="15"/>
      <c r="Y57" s="17" t="s">
        <v>75</v>
      </c>
      <c r="Z57" s="17" t="s">
        <v>75</v>
      </c>
      <c r="AA57" s="17" t="s">
        <v>75</v>
      </c>
      <c r="AB57" s="18" t="s">
        <v>354</v>
      </c>
      <c r="AC57" s="19" t="s">
        <v>81</v>
      </c>
      <c r="AD57" s="19" t="s">
        <v>76</v>
      </c>
      <c r="AE57" s="15">
        <v>0</v>
      </c>
      <c r="AF57" s="15"/>
      <c r="AG57" s="16" t="s">
        <v>345</v>
      </c>
      <c r="AH57" s="16" t="s">
        <v>78</v>
      </c>
      <c r="AI57" s="16" t="s">
        <v>79</v>
      </c>
    </row>
    <row r="58" spans="1:35" ht="24.95" customHeight="1" x14ac:dyDescent="0.3">
      <c r="A58" s="15">
        <v>2147</v>
      </c>
      <c r="B58" s="16" t="s">
        <v>211</v>
      </c>
      <c r="C58" s="16" t="s">
        <v>103</v>
      </c>
      <c r="D58" s="16" t="s">
        <v>233</v>
      </c>
      <c r="E58" s="16" t="s">
        <v>289</v>
      </c>
      <c r="F58" s="16" t="s">
        <v>265</v>
      </c>
      <c r="G58" s="16" t="s">
        <v>328</v>
      </c>
      <c r="H58" s="16" t="s">
        <v>74</v>
      </c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>
        <f>VLOOKUP(AB58,바코드찍는곳!B:C,2,0)</f>
        <v>2</v>
      </c>
      <c r="W58" s="15"/>
      <c r="X58" s="15"/>
      <c r="Y58" s="17" t="s">
        <v>75</v>
      </c>
      <c r="Z58" s="17" t="s">
        <v>75</v>
      </c>
      <c r="AA58" s="17" t="s">
        <v>75</v>
      </c>
      <c r="AB58" s="18" t="s">
        <v>377</v>
      </c>
      <c r="AC58" s="19" t="s">
        <v>81</v>
      </c>
      <c r="AD58" s="19" t="s">
        <v>76</v>
      </c>
      <c r="AE58" s="15">
        <v>0</v>
      </c>
      <c r="AF58" s="15"/>
      <c r="AG58" s="16" t="s">
        <v>95</v>
      </c>
      <c r="AH58" s="16" t="s">
        <v>78</v>
      </c>
      <c r="AI58" s="16" t="s">
        <v>79</v>
      </c>
    </row>
    <row r="59" spans="1:35" ht="24.95" customHeight="1" x14ac:dyDescent="0.3">
      <c r="A59" s="15">
        <v>2193</v>
      </c>
      <c r="B59" s="16" t="s">
        <v>212</v>
      </c>
      <c r="C59" s="16" t="s">
        <v>83</v>
      </c>
      <c r="D59" s="16" t="s">
        <v>109</v>
      </c>
      <c r="E59" s="16" t="s">
        <v>290</v>
      </c>
      <c r="F59" s="16" t="s">
        <v>266</v>
      </c>
      <c r="G59" s="16" t="s">
        <v>329</v>
      </c>
      <c r="H59" s="16" t="s">
        <v>74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>
        <f>VLOOKUP(AB59,바코드찍는곳!B:C,2,0)</f>
        <v>2</v>
      </c>
      <c r="W59" s="15"/>
      <c r="X59" s="15"/>
      <c r="Y59" s="17" t="s">
        <v>75</v>
      </c>
      <c r="Z59" s="17" t="s">
        <v>75</v>
      </c>
      <c r="AA59" s="17" t="s">
        <v>75</v>
      </c>
      <c r="AB59" s="18" t="s">
        <v>353</v>
      </c>
      <c r="AC59" s="19" t="s">
        <v>81</v>
      </c>
      <c r="AD59" s="19" t="s">
        <v>76</v>
      </c>
      <c r="AE59" s="15">
        <v>0</v>
      </c>
      <c r="AF59" s="15"/>
      <c r="AG59" s="16" t="s">
        <v>110</v>
      </c>
      <c r="AH59" s="16" t="s">
        <v>78</v>
      </c>
      <c r="AI59" s="16" t="s">
        <v>79</v>
      </c>
    </row>
    <row r="60" spans="1:35" ht="24.95" customHeight="1" x14ac:dyDescent="0.3">
      <c r="A60" s="15">
        <v>2380</v>
      </c>
      <c r="B60" s="16" t="s">
        <v>213</v>
      </c>
      <c r="C60" s="16" t="s">
        <v>72</v>
      </c>
      <c r="D60" s="16" t="s">
        <v>112</v>
      </c>
      <c r="E60" s="16" t="s">
        <v>291</v>
      </c>
      <c r="F60" s="16" t="s">
        <v>267</v>
      </c>
      <c r="G60" s="16" t="s">
        <v>330</v>
      </c>
      <c r="H60" s="16" t="s">
        <v>74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>
        <f>VLOOKUP(AB60,바코드찍는곳!B:C,2,0)</f>
        <v>3</v>
      </c>
      <c r="W60" s="15"/>
      <c r="X60" s="15"/>
      <c r="Y60" s="17" t="s">
        <v>75</v>
      </c>
      <c r="Z60" s="17" t="s">
        <v>75</v>
      </c>
      <c r="AA60" s="17" t="s">
        <v>75</v>
      </c>
      <c r="AB60" s="18" t="s">
        <v>384</v>
      </c>
      <c r="AC60" s="19" t="s">
        <v>81</v>
      </c>
      <c r="AD60" s="19" t="s">
        <v>76</v>
      </c>
      <c r="AE60" s="15">
        <v>0</v>
      </c>
      <c r="AF60" s="15"/>
      <c r="AG60" s="16" t="s">
        <v>77</v>
      </c>
      <c r="AH60" s="16" t="s">
        <v>78</v>
      </c>
      <c r="AI60" s="16" t="s">
        <v>79</v>
      </c>
    </row>
    <row r="61" spans="1:35" ht="24.95" customHeight="1" x14ac:dyDescent="0.3">
      <c r="A61" s="15">
        <v>2387</v>
      </c>
      <c r="B61" s="16" t="s">
        <v>213</v>
      </c>
      <c r="C61" s="16" t="s">
        <v>99</v>
      </c>
      <c r="D61" s="16" t="s">
        <v>112</v>
      </c>
      <c r="E61" s="16" t="s">
        <v>291</v>
      </c>
      <c r="F61" s="16" t="s">
        <v>267</v>
      </c>
      <c r="G61" s="16" t="s">
        <v>331</v>
      </c>
      <c r="H61" s="16" t="s">
        <v>74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>
        <f>VLOOKUP(AB61,바코드찍는곳!B:C,2,0)</f>
        <v>3</v>
      </c>
      <c r="W61" s="15"/>
      <c r="X61" s="15"/>
      <c r="Y61" s="17" t="s">
        <v>75</v>
      </c>
      <c r="Z61" s="17" t="s">
        <v>75</v>
      </c>
      <c r="AA61" s="17" t="s">
        <v>75</v>
      </c>
      <c r="AB61" s="18" t="s">
        <v>385</v>
      </c>
      <c r="AC61" s="19" t="s">
        <v>81</v>
      </c>
      <c r="AD61" s="19" t="s">
        <v>76</v>
      </c>
      <c r="AE61" s="15">
        <v>0</v>
      </c>
      <c r="AF61" s="15"/>
      <c r="AG61" s="16" t="s">
        <v>77</v>
      </c>
      <c r="AH61" s="16" t="s">
        <v>78</v>
      </c>
      <c r="AI61" s="16" t="s">
        <v>79</v>
      </c>
    </row>
    <row r="62" spans="1:35" ht="24.95" customHeight="1" x14ac:dyDescent="0.3">
      <c r="A62" s="15">
        <v>2390</v>
      </c>
      <c r="B62" s="16" t="s">
        <v>213</v>
      </c>
      <c r="C62" s="16" t="s">
        <v>227</v>
      </c>
      <c r="D62" s="16" t="s">
        <v>112</v>
      </c>
      <c r="E62" s="16" t="s">
        <v>291</v>
      </c>
      <c r="F62" s="16" t="s">
        <v>267</v>
      </c>
      <c r="G62" s="16" t="s">
        <v>332</v>
      </c>
      <c r="H62" s="16" t="s">
        <v>74</v>
      </c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>
        <f>VLOOKUP(AB62,바코드찍는곳!B:C,2,0)</f>
        <v>3</v>
      </c>
      <c r="W62" s="15"/>
      <c r="X62" s="15"/>
      <c r="Y62" s="17" t="s">
        <v>75</v>
      </c>
      <c r="Z62" s="17" t="s">
        <v>75</v>
      </c>
      <c r="AA62" s="17" t="s">
        <v>75</v>
      </c>
      <c r="AB62" s="18" t="s">
        <v>386</v>
      </c>
      <c r="AC62" s="19" t="s">
        <v>81</v>
      </c>
      <c r="AD62" s="19" t="s">
        <v>76</v>
      </c>
      <c r="AE62" s="15">
        <v>0</v>
      </c>
      <c r="AF62" s="15"/>
      <c r="AG62" s="16" t="s">
        <v>77</v>
      </c>
      <c r="AH62" s="16" t="s">
        <v>78</v>
      </c>
      <c r="AI62" s="16" t="s">
        <v>79</v>
      </c>
    </row>
    <row r="63" spans="1:35" ht="24.95" customHeight="1" x14ac:dyDescent="0.3">
      <c r="A63" s="15">
        <v>2391</v>
      </c>
      <c r="B63" s="16" t="s">
        <v>213</v>
      </c>
      <c r="C63" s="16" t="s">
        <v>228</v>
      </c>
      <c r="D63" s="16" t="s">
        <v>112</v>
      </c>
      <c r="E63" s="16" t="s">
        <v>291</v>
      </c>
      <c r="F63" s="16" t="s">
        <v>267</v>
      </c>
      <c r="G63" s="16" t="s">
        <v>333</v>
      </c>
      <c r="H63" s="16" t="s">
        <v>74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>
        <f>VLOOKUP(AB63,바코드찍는곳!B:C,2,0)</f>
        <v>3</v>
      </c>
      <c r="W63" s="15"/>
      <c r="X63" s="15"/>
      <c r="Y63" s="17" t="s">
        <v>75</v>
      </c>
      <c r="Z63" s="17" t="s">
        <v>75</v>
      </c>
      <c r="AA63" s="17" t="s">
        <v>75</v>
      </c>
      <c r="AB63" s="18" t="s">
        <v>387</v>
      </c>
      <c r="AC63" s="19" t="s">
        <v>81</v>
      </c>
      <c r="AD63" s="19" t="s">
        <v>76</v>
      </c>
      <c r="AE63" s="15">
        <v>0</v>
      </c>
      <c r="AF63" s="15"/>
      <c r="AG63" s="16" t="s">
        <v>77</v>
      </c>
      <c r="AH63" s="16" t="s">
        <v>78</v>
      </c>
      <c r="AI63" s="16" t="s">
        <v>79</v>
      </c>
    </row>
    <row r="64" spans="1:35" ht="24.95" customHeight="1" x14ac:dyDescent="0.3">
      <c r="A64" s="15">
        <v>2399</v>
      </c>
      <c r="B64" s="16" t="s">
        <v>213</v>
      </c>
      <c r="C64" s="16" t="s">
        <v>92</v>
      </c>
      <c r="D64" s="16" t="s">
        <v>112</v>
      </c>
      <c r="E64" s="16" t="s">
        <v>291</v>
      </c>
      <c r="F64" s="16" t="s">
        <v>267</v>
      </c>
      <c r="G64" s="16" t="s">
        <v>334</v>
      </c>
      <c r="H64" s="16" t="s">
        <v>74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>
        <f>VLOOKUP(AB64,바코드찍는곳!B:C,2,0)</f>
        <v>2</v>
      </c>
      <c r="W64" s="15"/>
      <c r="X64" s="15"/>
      <c r="Y64" s="17" t="s">
        <v>75</v>
      </c>
      <c r="Z64" s="17" t="s">
        <v>75</v>
      </c>
      <c r="AA64" s="17" t="s">
        <v>75</v>
      </c>
      <c r="AB64" s="18" t="s">
        <v>348</v>
      </c>
      <c r="AC64" s="19" t="s">
        <v>81</v>
      </c>
      <c r="AD64" s="19" t="s">
        <v>76</v>
      </c>
      <c r="AE64" s="15">
        <v>0</v>
      </c>
      <c r="AF64" s="15"/>
      <c r="AG64" s="16" t="s">
        <v>77</v>
      </c>
      <c r="AH64" s="16" t="s">
        <v>78</v>
      </c>
      <c r="AI64" s="16" t="s">
        <v>79</v>
      </c>
    </row>
    <row r="65" spans="1:35" ht="24.95" customHeight="1" x14ac:dyDescent="0.3">
      <c r="A65" s="15">
        <v>2400</v>
      </c>
      <c r="B65" s="16" t="s">
        <v>213</v>
      </c>
      <c r="C65" s="16" t="s">
        <v>93</v>
      </c>
      <c r="D65" s="16" t="s">
        <v>112</v>
      </c>
      <c r="E65" s="16" t="s">
        <v>291</v>
      </c>
      <c r="F65" s="16" t="s">
        <v>267</v>
      </c>
      <c r="G65" s="16" t="s">
        <v>335</v>
      </c>
      <c r="H65" s="16" t="s">
        <v>74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>
        <f>VLOOKUP(AB65,바코드찍는곳!B:C,2,0)</f>
        <v>2</v>
      </c>
      <c r="W65" s="15"/>
      <c r="X65" s="15"/>
      <c r="Y65" s="17" t="s">
        <v>75</v>
      </c>
      <c r="Z65" s="17" t="s">
        <v>75</v>
      </c>
      <c r="AA65" s="17" t="s">
        <v>75</v>
      </c>
      <c r="AB65" s="18" t="s">
        <v>349</v>
      </c>
      <c r="AC65" s="19" t="s">
        <v>81</v>
      </c>
      <c r="AD65" s="19" t="s">
        <v>76</v>
      </c>
      <c r="AE65" s="15">
        <v>0</v>
      </c>
      <c r="AF65" s="15"/>
      <c r="AG65" s="16" t="s">
        <v>77</v>
      </c>
      <c r="AH65" s="16" t="s">
        <v>78</v>
      </c>
      <c r="AI65" s="16" t="s">
        <v>79</v>
      </c>
    </row>
    <row r="66" spans="1:35" ht="24.95" customHeight="1" x14ac:dyDescent="0.3">
      <c r="A66" s="15">
        <v>2401</v>
      </c>
      <c r="B66" s="16" t="s">
        <v>213</v>
      </c>
      <c r="C66" s="16" t="s">
        <v>106</v>
      </c>
      <c r="D66" s="16" t="s">
        <v>112</v>
      </c>
      <c r="E66" s="16" t="s">
        <v>291</v>
      </c>
      <c r="F66" s="16" t="s">
        <v>267</v>
      </c>
      <c r="G66" s="16" t="s">
        <v>336</v>
      </c>
      <c r="H66" s="16" t="s">
        <v>74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>
        <f>VLOOKUP(AB66,바코드찍는곳!B:C,2,0)</f>
        <v>2</v>
      </c>
      <c r="W66" s="15"/>
      <c r="X66" s="15"/>
      <c r="Y66" s="17" t="s">
        <v>75</v>
      </c>
      <c r="Z66" s="17" t="s">
        <v>75</v>
      </c>
      <c r="AA66" s="17" t="s">
        <v>75</v>
      </c>
      <c r="AB66" s="18" t="s">
        <v>388</v>
      </c>
      <c r="AC66" s="19" t="s">
        <v>81</v>
      </c>
      <c r="AD66" s="19" t="s">
        <v>76</v>
      </c>
      <c r="AE66" s="15">
        <v>0</v>
      </c>
      <c r="AF66" s="15"/>
      <c r="AG66" s="16" t="s">
        <v>77</v>
      </c>
      <c r="AH66" s="16" t="s">
        <v>78</v>
      </c>
      <c r="AI66" s="16" t="s">
        <v>79</v>
      </c>
    </row>
    <row r="67" spans="1:35" ht="24.95" customHeight="1" x14ac:dyDescent="0.3">
      <c r="A67" s="15">
        <v>2403</v>
      </c>
      <c r="B67" s="16" t="s">
        <v>213</v>
      </c>
      <c r="C67" s="16" t="s">
        <v>107</v>
      </c>
      <c r="D67" s="16" t="s">
        <v>112</v>
      </c>
      <c r="E67" s="16" t="s">
        <v>291</v>
      </c>
      <c r="F67" s="16" t="s">
        <v>267</v>
      </c>
      <c r="G67" s="16" t="s">
        <v>337</v>
      </c>
      <c r="H67" s="16" t="s">
        <v>74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>
        <f>VLOOKUP(AB67,바코드찍는곳!B:C,2,0)</f>
        <v>2</v>
      </c>
      <c r="W67" s="15"/>
      <c r="X67" s="15"/>
      <c r="Y67" s="17" t="s">
        <v>75</v>
      </c>
      <c r="Z67" s="17" t="s">
        <v>75</v>
      </c>
      <c r="AA67" s="17" t="s">
        <v>75</v>
      </c>
      <c r="AB67" s="18" t="s">
        <v>389</v>
      </c>
      <c r="AC67" s="19" t="s">
        <v>81</v>
      </c>
      <c r="AD67" s="19" t="s">
        <v>76</v>
      </c>
      <c r="AE67" s="15">
        <v>0</v>
      </c>
      <c r="AF67" s="15"/>
      <c r="AG67" s="16" t="s">
        <v>77</v>
      </c>
      <c r="AH67" s="16" t="s">
        <v>78</v>
      </c>
      <c r="AI67" s="16" t="s">
        <v>79</v>
      </c>
    </row>
    <row r="68" spans="1:35" ht="24.95" customHeight="1" x14ac:dyDescent="0.3">
      <c r="A68" s="15">
        <v>2406</v>
      </c>
      <c r="B68" s="16" t="s">
        <v>214</v>
      </c>
      <c r="C68" s="16" t="s">
        <v>80</v>
      </c>
      <c r="D68" s="16" t="s">
        <v>153</v>
      </c>
      <c r="E68" s="16" t="s">
        <v>292</v>
      </c>
      <c r="F68" s="16" t="s">
        <v>268</v>
      </c>
      <c r="G68" s="16" t="s">
        <v>338</v>
      </c>
      <c r="H68" s="16" t="s">
        <v>74</v>
      </c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>
        <f>VLOOKUP(AB68,바코드찍는곳!B:C,2,0)</f>
        <v>2</v>
      </c>
      <c r="W68" s="15"/>
      <c r="X68" s="15"/>
      <c r="Y68" s="17" t="s">
        <v>75</v>
      </c>
      <c r="Z68" s="17" t="s">
        <v>75</v>
      </c>
      <c r="AA68" s="17" t="s">
        <v>75</v>
      </c>
      <c r="AB68" s="18">
        <v>8809816389055</v>
      </c>
      <c r="AC68" s="19" t="s">
        <v>81</v>
      </c>
      <c r="AD68" s="19" t="s">
        <v>76</v>
      </c>
      <c r="AE68" s="15">
        <v>0</v>
      </c>
      <c r="AF68" s="15"/>
      <c r="AG68" s="16" t="s">
        <v>77</v>
      </c>
      <c r="AH68" s="16" t="s">
        <v>78</v>
      </c>
      <c r="AI68" s="16" t="s">
        <v>79</v>
      </c>
    </row>
    <row r="69" spans="1:35" ht="24.95" customHeight="1" x14ac:dyDescent="0.3">
      <c r="A69" s="15">
        <v>2410</v>
      </c>
      <c r="B69" s="16" t="s">
        <v>214</v>
      </c>
      <c r="C69" s="16" t="s">
        <v>97</v>
      </c>
      <c r="D69" s="16" t="s">
        <v>153</v>
      </c>
      <c r="E69" s="16" t="s">
        <v>292</v>
      </c>
      <c r="F69" s="16" t="s">
        <v>268</v>
      </c>
      <c r="G69" s="16" t="s">
        <v>339</v>
      </c>
      <c r="H69" s="16" t="s">
        <v>74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>
        <f>VLOOKUP(AB69,바코드찍는곳!B:C,2,0)</f>
        <v>1</v>
      </c>
      <c r="W69" s="15"/>
      <c r="X69" s="15"/>
      <c r="Y69" s="17" t="s">
        <v>75</v>
      </c>
      <c r="Z69" s="17" t="s">
        <v>75</v>
      </c>
      <c r="AA69" s="17" t="s">
        <v>75</v>
      </c>
      <c r="AB69" s="18">
        <v>8809816389093</v>
      </c>
      <c r="AC69" s="19" t="s">
        <v>81</v>
      </c>
      <c r="AD69" s="19" t="s">
        <v>76</v>
      </c>
      <c r="AE69" s="15">
        <v>0</v>
      </c>
      <c r="AF69" s="15"/>
      <c r="AG69" s="16" t="s">
        <v>77</v>
      </c>
      <c r="AH69" s="16" t="s">
        <v>78</v>
      </c>
      <c r="AI69" s="16" t="s">
        <v>79</v>
      </c>
    </row>
    <row r="70" spans="1:35" ht="24.95" customHeight="1" x14ac:dyDescent="0.3">
      <c r="A70" s="15">
        <v>2420</v>
      </c>
      <c r="B70" s="16" t="s">
        <v>214</v>
      </c>
      <c r="C70" s="16" t="s">
        <v>102</v>
      </c>
      <c r="D70" s="16" t="s">
        <v>153</v>
      </c>
      <c r="E70" s="16" t="s">
        <v>292</v>
      </c>
      <c r="F70" s="16" t="s">
        <v>268</v>
      </c>
      <c r="G70" s="16" t="s">
        <v>340</v>
      </c>
      <c r="H70" s="16" t="s">
        <v>74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>
        <f>VLOOKUP(AB70,바코드찍는곳!B:C,2,0)</f>
        <v>2</v>
      </c>
      <c r="W70" s="15"/>
      <c r="X70" s="15"/>
      <c r="Y70" s="17" t="s">
        <v>75</v>
      </c>
      <c r="Z70" s="17" t="s">
        <v>75</v>
      </c>
      <c r="AA70" s="17" t="s">
        <v>75</v>
      </c>
      <c r="AB70" s="18">
        <v>8809816389192</v>
      </c>
      <c r="AC70" s="19" t="s">
        <v>81</v>
      </c>
      <c r="AD70" s="19" t="s">
        <v>76</v>
      </c>
      <c r="AE70" s="15">
        <v>0</v>
      </c>
      <c r="AF70" s="15"/>
      <c r="AG70" s="16" t="s">
        <v>77</v>
      </c>
      <c r="AH70" s="16" t="s">
        <v>78</v>
      </c>
      <c r="AI70" s="16" t="s">
        <v>79</v>
      </c>
    </row>
    <row r="71" spans="1:35" ht="24.95" customHeight="1" x14ac:dyDescent="0.3">
      <c r="A71" s="15">
        <v>2425</v>
      </c>
      <c r="B71" s="16" t="s">
        <v>214</v>
      </c>
      <c r="C71" s="16" t="s">
        <v>91</v>
      </c>
      <c r="D71" s="16" t="s">
        <v>153</v>
      </c>
      <c r="E71" s="16" t="s">
        <v>292</v>
      </c>
      <c r="F71" s="16" t="s">
        <v>268</v>
      </c>
      <c r="G71" s="16" t="s">
        <v>341</v>
      </c>
      <c r="H71" s="16" t="s">
        <v>74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>
        <f>VLOOKUP(AB71,바코드찍는곳!B:C,2,0)</f>
        <v>2</v>
      </c>
      <c r="W71" s="15"/>
      <c r="X71" s="15"/>
      <c r="Y71" s="17" t="s">
        <v>75</v>
      </c>
      <c r="Z71" s="17" t="s">
        <v>75</v>
      </c>
      <c r="AA71" s="17" t="s">
        <v>75</v>
      </c>
      <c r="AB71" s="18">
        <v>8809816389246</v>
      </c>
      <c r="AC71" s="19" t="s">
        <v>81</v>
      </c>
      <c r="AD71" s="19" t="s">
        <v>76</v>
      </c>
      <c r="AE71" s="15">
        <v>0</v>
      </c>
      <c r="AF71" s="15"/>
      <c r="AG71" s="16" t="s">
        <v>77</v>
      </c>
      <c r="AH71" s="16" t="s">
        <v>78</v>
      </c>
      <c r="AI71" s="16" t="s">
        <v>79</v>
      </c>
    </row>
    <row r="72" spans="1:35" ht="24.95" customHeight="1" x14ac:dyDescent="0.3">
      <c r="A72" s="15">
        <v>2428</v>
      </c>
      <c r="B72" s="16" t="s">
        <v>214</v>
      </c>
      <c r="C72" s="16" t="s">
        <v>106</v>
      </c>
      <c r="D72" s="16" t="s">
        <v>153</v>
      </c>
      <c r="E72" s="16" t="s">
        <v>292</v>
      </c>
      <c r="F72" s="16" t="s">
        <v>268</v>
      </c>
      <c r="G72" s="16" t="s">
        <v>342</v>
      </c>
      <c r="H72" s="16" t="s">
        <v>74</v>
      </c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>
        <f>VLOOKUP(AB72,바코드찍는곳!B:C,2,0)</f>
        <v>2</v>
      </c>
      <c r="W72" s="15"/>
      <c r="X72" s="15"/>
      <c r="Y72" s="17" t="s">
        <v>75</v>
      </c>
      <c r="Z72" s="17" t="s">
        <v>75</v>
      </c>
      <c r="AA72" s="17" t="s">
        <v>75</v>
      </c>
      <c r="AB72" s="18">
        <v>8809816389277</v>
      </c>
      <c r="AC72" s="19" t="s">
        <v>81</v>
      </c>
      <c r="AD72" s="19" t="s">
        <v>76</v>
      </c>
      <c r="AE72" s="15">
        <v>0</v>
      </c>
      <c r="AF72" s="15"/>
      <c r="AG72" s="16" t="s">
        <v>77</v>
      </c>
      <c r="AH72" s="16" t="s">
        <v>78</v>
      </c>
      <c r="AI72" s="16" t="s">
        <v>79</v>
      </c>
    </row>
    <row r="73" spans="1:35" ht="24.95" customHeight="1" x14ac:dyDescent="0.3">
      <c r="A73" s="15">
        <v>2437</v>
      </c>
      <c r="B73" s="16" t="s">
        <v>215</v>
      </c>
      <c r="C73" s="16" t="s">
        <v>97</v>
      </c>
      <c r="D73" s="16" t="s">
        <v>244</v>
      </c>
      <c r="E73" s="16" t="s">
        <v>293</v>
      </c>
      <c r="F73" s="16" t="s">
        <v>269</v>
      </c>
      <c r="G73" s="16" t="s">
        <v>343</v>
      </c>
      <c r="H73" s="16" t="s">
        <v>74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>
        <f>VLOOKUP(AB73,바코드찍는곳!B:C,2,0)</f>
        <v>1</v>
      </c>
      <c r="W73" s="15"/>
      <c r="X73" s="15"/>
      <c r="Y73" s="17" t="s">
        <v>75</v>
      </c>
      <c r="Z73" s="17" t="s">
        <v>75</v>
      </c>
      <c r="AA73" s="17" t="s">
        <v>75</v>
      </c>
      <c r="AB73" s="18">
        <v>8809792688357</v>
      </c>
      <c r="AC73" s="19" t="s">
        <v>81</v>
      </c>
      <c r="AD73" s="19" t="s">
        <v>76</v>
      </c>
      <c r="AE73" s="15">
        <v>0</v>
      </c>
      <c r="AF73" s="15"/>
      <c r="AG73" s="16" t="s">
        <v>345</v>
      </c>
      <c r="AH73" s="16" t="s">
        <v>78</v>
      </c>
      <c r="AI73" s="16" t="s">
        <v>79</v>
      </c>
    </row>
    <row r="74" spans="1:35" ht="24.95" customHeight="1" x14ac:dyDescent="0.3">
      <c r="A74" s="15">
        <v>2441</v>
      </c>
      <c r="B74" s="16" t="s">
        <v>215</v>
      </c>
      <c r="C74" s="16" t="s">
        <v>85</v>
      </c>
      <c r="D74" s="16" t="s">
        <v>244</v>
      </c>
      <c r="E74" s="16" t="s">
        <v>293</v>
      </c>
      <c r="F74" s="16" t="s">
        <v>269</v>
      </c>
      <c r="G74" s="16" t="s">
        <v>344</v>
      </c>
      <c r="H74" s="16" t="s">
        <v>74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>
        <f>VLOOKUP(AB74,바코드찍는곳!B:C,2,0)</f>
        <v>2</v>
      </c>
      <c r="W74" s="15"/>
      <c r="X74" s="15"/>
      <c r="Y74" s="17" t="s">
        <v>75</v>
      </c>
      <c r="Z74" s="17" t="s">
        <v>75</v>
      </c>
      <c r="AA74" s="17" t="s">
        <v>75</v>
      </c>
      <c r="AB74" s="18">
        <v>8809792688395</v>
      </c>
      <c r="AC74" s="19" t="s">
        <v>81</v>
      </c>
      <c r="AD74" s="19" t="s">
        <v>76</v>
      </c>
      <c r="AE74" s="15">
        <v>0</v>
      </c>
      <c r="AF74" s="15"/>
      <c r="AG74" s="16" t="s">
        <v>345</v>
      </c>
      <c r="AH74" s="16" t="s">
        <v>78</v>
      </c>
      <c r="AI74" s="16" t="s">
        <v>79</v>
      </c>
    </row>
    <row r="75" spans="1:35" ht="24.95" customHeight="1" x14ac:dyDescent="0.3">
      <c r="A75" s="15">
        <v>2464</v>
      </c>
      <c r="B75" s="15" t="s">
        <v>402</v>
      </c>
      <c r="C75" s="20" t="s">
        <v>103</v>
      </c>
      <c r="D75" s="15">
        <v>29800</v>
      </c>
      <c r="E75" s="15">
        <v>7358199198</v>
      </c>
      <c r="F75" s="15">
        <v>14137103458</v>
      </c>
      <c r="G75" s="15">
        <v>86077917227</v>
      </c>
      <c r="H75" s="16" t="s">
        <v>74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>
        <f>VLOOKUP(AB75,바코드찍는곳!B:C,2,0)</f>
        <v>1</v>
      </c>
      <c r="W75" s="15"/>
      <c r="X75" s="15"/>
      <c r="Y75" s="17" t="s">
        <v>75</v>
      </c>
      <c r="Z75" s="17" t="s">
        <v>75</v>
      </c>
      <c r="AA75" s="17" t="s">
        <v>75</v>
      </c>
      <c r="AB75" s="18">
        <v>8809848769108</v>
      </c>
      <c r="AC75" s="19" t="s">
        <v>81</v>
      </c>
      <c r="AD75" s="19" t="s">
        <v>76</v>
      </c>
      <c r="AE75" s="15">
        <v>0</v>
      </c>
      <c r="AF75" s="15"/>
      <c r="AG75" s="16" t="s">
        <v>394</v>
      </c>
      <c r="AH75" s="16" t="s">
        <v>78</v>
      </c>
      <c r="AI75" s="16" t="s">
        <v>79</v>
      </c>
    </row>
    <row r="76" spans="1:35" ht="24.95" customHeight="1" x14ac:dyDescent="0.3">
      <c r="A76" s="15">
        <v>2499</v>
      </c>
      <c r="B76" s="15" t="s">
        <v>395</v>
      </c>
      <c r="C76" s="20" t="s">
        <v>396</v>
      </c>
      <c r="D76" s="15">
        <v>33200</v>
      </c>
      <c r="E76" s="15">
        <v>6804468377</v>
      </c>
      <c r="F76" s="15">
        <v>13583520349</v>
      </c>
      <c r="G76" s="15">
        <v>83275869300</v>
      </c>
      <c r="H76" s="16" t="s">
        <v>74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>
        <f>VLOOKUP(AB76,바코드찍는곳!B:C,2,0)</f>
        <v>1</v>
      </c>
      <c r="W76" s="15"/>
      <c r="X76" s="15"/>
      <c r="Y76" s="17" t="s">
        <v>75</v>
      </c>
      <c r="Z76" s="17" t="s">
        <v>75</v>
      </c>
      <c r="AA76" s="17" t="s">
        <v>75</v>
      </c>
      <c r="AB76" s="18" t="s">
        <v>397</v>
      </c>
      <c r="AC76" s="19" t="s">
        <v>81</v>
      </c>
      <c r="AD76" s="19" t="s">
        <v>76</v>
      </c>
      <c r="AE76" s="15">
        <v>0</v>
      </c>
      <c r="AF76" s="15"/>
      <c r="AG76" s="16" t="s">
        <v>398</v>
      </c>
      <c r="AH76" s="16" t="s">
        <v>78</v>
      </c>
      <c r="AI76" s="16" t="s">
        <v>79</v>
      </c>
    </row>
    <row r="77" spans="1:35" ht="24.95" customHeight="1" x14ac:dyDescent="0.3">
      <c r="A77" s="15">
        <v>2554</v>
      </c>
      <c r="B77" s="15" t="s">
        <v>403</v>
      </c>
      <c r="C77" s="15" t="s">
        <v>404</v>
      </c>
      <c r="D77" s="15">
        <v>32800</v>
      </c>
      <c r="E77" s="15">
        <v>6811947022</v>
      </c>
      <c r="F77" s="15">
        <v>13590709748</v>
      </c>
      <c r="G77" s="15">
        <v>83314543480</v>
      </c>
      <c r="H77" s="16" t="s">
        <v>74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>
        <f>VLOOKUP(AB77,바코드찍는곳!B:C,2,0)</f>
        <v>2</v>
      </c>
      <c r="W77" s="15"/>
      <c r="X77" s="15"/>
      <c r="Y77" s="17" t="s">
        <v>75</v>
      </c>
      <c r="Z77" s="17" t="s">
        <v>75</v>
      </c>
      <c r="AA77" s="17" t="s">
        <v>75</v>
      </c>
      <c r="AB77" s="18" t="s">
        <v>406</v>
      </c>
      <c r="AC77" s="19" t="s">
        <v>81</v>
      </c>
      <c r="AD77" s="19" t="s">
        <v>76</v>
      </c>
      <c r="AE77" s="15">
        <v>0</v>
      </c>
      <c r="AF77" s="15"/>
      <c r="AG77" s="16" t="s">
        <v>407</v>
      </c>
      <c r="AH77" s="16" t="s">
        <v>78</v>
      </c>
      <c r="AI77" s="16" t="s">
        <v>79</v>
      </c>
    </row>
    <row r="78" spans="1:35" ht="24.95" customHeight="1" x14ac:dyDescent="0.3">
      <c r="A78" s="15">
        <v>2576</v>
      </c>
      <c r="B78" s="15" t="s">
        <v>408</v>
      </c>
      <c r="C78" s="15" t="s">
        <v>393</v>
      </c>
      <c r="D78" s="15">
        <v>32800</v>
      </c>
      <c r="E78" s="15">
        <v>6812491765</v>
      </c>
      <c r="F78" s="15">
        <v>13591247700</v>
      </c>
      <c r="G78" s="15">
        <v>87755294802</v>
      </c>
      <c r="H78" s="16" t="s">
        <v>74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>
        <f>VLOOKUP(AB78,바코드찍는곳!B:C,2,0)</f>
        <v>1</v>
      </c>
      <c r="W78" s="15"/>
      <c r="X78" s="15"/>
      <c r="Y78" s="17" t="s">
        <v>75</v>
      </c>
      <c r="Z78" s="17" t="s">
        <v>75</v>
      </c>
      <c r="AA78" s="17" t="s">
        <v>75</v>
      </c>
      <c r="AB78" s="18" t="s">
        <v>410</v>
      </c>
      <c r="AC78" s="19" t="s">
        <v>81</v>
      </c>
      <c r="AD78" s="19" t="s">
        <v>76</v>
      </c>
      <c r="AE78" s="15">
        <v>0</v>
      </c>
      <c r="AF78" s="15"/>
      <c r="AG78" s="16" t="s">
        <v>407</v>
      </c>
      <c r="AH78" s="16" t="s">
        <v>78</v>
      </c>
      <c r="AI78" s="16" t="s">
        <v>79</v>
      </c>
    </row>
    <row r="79" spans="1:35" ht="24.95" customHeight="1" x14ac:dyDescent="0.3">
      <c r="A79" s="15">
        <v>2582</v>
      </c>
      <c r="B79" s="15" t="s">
        <v>408</v>
      </c>
      <c r="C79" s="15" t="s">
        <v>405</v>
      </c>
      <c r="D79" s="15">
        <v>32800</v>
      </c>
      <c r="E79" s="15">
        <v>6812491765</v>
      </c>
      <c r="F79" s="15">
        <v>13591247700</v>
      </c>
      <c r="G79" s="15">
        <v>83317234931</v>
      </c>
      <c r="H79" s="16" t="s">
        <v>74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>
        <f>VLOOKUP(AB79,바코드찍는곳!B:C,2,0)</f>
        <v>2</v>
      </c>
      <c r="W79" s="15"/>
      <c r="X79" s="15"/>
      <c r="Y79" s="17" t="s">
        <v>75</v>
      </c>
      <c r="Z79" s="17" t="s">
        <v>75</v>
      </c>
      <c r="AA79" s="17" t="s">
        <v>75</v>
      </c>
      <c r="AB79" s="18" t="s">
        <v>409</v>
      </c>
      <c r="AC79" s="19" t="s">
        <v>81</v>
      </c>
      <c r="AD79" s="19" t="s">
        <v>76</v>
      </c>
      <c r="AE79" s="15">
        <v>0</v>
      </c>
      <c r="AF79" s="15"/>
      <c r="AG79" s="16" t="s">
        <v>407</v>
      </c>
      <c r="AH79" s="16" t="s">
        <v>78</v>
      </c>
      <c r="AI79" s="16" t="s">
        <v>79</v>
      </c>
    </row>
    <row r="80" spans="1:35" ht="24.95" customHeight="1" x14ac:dyDescent="0.3">
      <c r="A80" s="15">
        <v>2622</v>
      </c>
      <c r="B80" s="21" t="s">
        <v>411</v>
      </c>
      <c r="C80" s="21" t="s">
        <v>82</v>
      </c>
      <c r="D80" s="22" t="s">
        <v>230</v>
      </c>
      <c r="E80" s="21" t="s">
        <v>412</v>
      </c>
      <c r="F80" s="21" t="s">
        <v>413</v>
      </c>
      <c r="G80" s="21" t="s">
        <v>416</v>
      </c>
      <c r="H80" s="21" t="s">
        <v>74</v>
      </c>
      <c r="I80" s="23" t="s">
        <v>414</v>
      </c>
      <c r="J80" s="23" t="s">
        <v>414</v>
      </c>
      <c r="K80" s="23" t="s">
        <v>414</v>
      </c>
      <c r="L80" s="23" t="s">
        <v>414</v>
      </c>
      <c r="M80" s="23" t="s">
        <v>414</v>
      </c>
      <c r="N80" s="23" t="s">
        <v>414</v>
      </c>
      <c r="O80" s="23" t="s">
        <v>414</v>
      </c>
      <c r="P80" s="23" t="s">
        <v>414</v>
      </c>
      <c r="Q80" s="23" t="s">
        <v>414</v>
      </c>
      <c r="R80" s="23" t="s">
        <v>414</v>
      </c>
      <c r="S80" s="23" t="s">
        <v>414</v>
      </c>
      <c r="T80" s="23" t="s">
        <v>414</v>
      </c>
      <c r="U80" s="23" t="s">
        <v>414</v>
      </c>
      <c r="V80" s="15">
        <f>VLOOKUP(AB80,바코드찍는곳!B:C,2,0)</f>
        <v>2</v>
      </c>
      <c r="W80" s="24" t="s">
        <v>414</v>
      </c>
      <c r="X80" s="25" t="s">
        <v>414</v>
      </c>
      <c r="Y80" s="26" t="s">
        <v>75</v>
      </c>
      <c r="Z80" s="26" t="s">
        <v>75</v>
      </c>
      <c r="AA80" s="26" t="s">
        <v>75</v>
      </c>
      <c r="AB80" s="27" t="s">
        <v>417</v>
      </c>
      <c r="AC80" s="25" t="s">
        <v>81</v>
      </c>
      <c r="AD80" s="25" t="s">
        <v>76</v>
      </c>
      <c r="AE80" s="22" t="s">
        <v>415</v>
      </c>
      <c r="AF80" s="21" t="s">
        <v>414</v>
      </c>
      <c r="AG80" s="21" t="s">
        <v>345</v>
      </c>
      <c r="AH80" s="21" t="s">
        <v>78</v>
      </c>
      <c r="AI80" s="21" t="s">
        <v>79</v>
      </c>
    </row>
    <row r="81" spans="1:35" ht="24.95" customHeight="1" x14ac:dyDescent="0.3">
      <c r="A81" s="15">
        <v>2630</v>
      </c>
      <c r="B81" s="21" t="s">
        <v>411</v>
      </c>
      <c r="C81" s="21" t="s">
        <v>88</v>
      </c>
      <c r="D81" s="22" t="s">
        <v>230</v>
      </c>
      <c r="E81" s="21" t="s">
        <v>412</v>
      </c>
      <c r="F81" s="21" t="s">
        <v>413</v>
      </c>
      <c r="G81" s="21" t="s">
        <v>418</v>
      </c>
      <c r="H81" s="21" t="s">
        <v>74</v>
      </c>
      <c r="I81" s="23" t="s">
        <v>414</v>
      </c>
      <c r="J81" s="23" t="s">
        <v>414</v>
      </c>
      <c r="K81" s="23" t="s">
        <v>414</v>
      </c>
      <c r="L81" s="23" t="s">
        <v>414</v>
      </c>
      <c r="M81" s="23" t="s">
        <v>414</v>
      </c>
      <c r="N81" s="23" t="s">
        <v>414</v>
      </c>
      <c r="O81" s="23" t="s">
        <v>414</v>
      </c>
      <c r="P81" s="23" t="s">
        <v>414</v>
      </c>
      <c r="Q81" s="23" t="s">
        <v>414</v>
      </c>
      <c r="R81" s="23" t="s">
        <v>414</v>
      </c>
      <c r="S81" s="23" t="s">
        <v>414</v>
      </c>
      <c r="T81" s="23" t="s">
        <v>414</v>
      </c>
      <c r="U81" s="23" t="s">
        <v>414</v>
      </c>
      <c r="V81" s="15">
        <f>VLOOKUP(AB81,바코드찍는곳!B:C,2,0)</f>
        <v>1</v>
      </c>
      <c r="W81" s="24" t="s">
        <v>414</v>
      </c>
      <c r="X81" s="25" t="s">
        <v>414</v>
      </c>
      <c r="Y81" s="26" t="s">
        <v>75</v>
      </c>
      <c r="Z81" s="26" t="s">
        <v>75</v>
      </c>
      <c r="AA81" s="26" t="s">
        <v>75</v>
      </c>
      <c r="AB81" s="27" t="s">
        <v>419</v>
      </c>
      <c r="AC81" s="25" t="s">
        <v>81</v>
      </c>
      <c r="AD81" s="25" t="s">
        <v>76</v>
      </c>
      <c r="AE81" s="22" t="s">
        <v>415</v>
      </c>
      <c r="AF81" s="21" t="s">
        <v>414</v>
      </c>
      <c r="AG81" s="21" t="s">
        <v>345</v>
      </c>
      <c r="AH81" s="21" t="s">
        <v>78</v>
      </c>
      <c r="AI81" s="21" t="s">
        <v>79</v>
      </c>
    </row>
    <row r="82" spans="1:35" ht="24.95" customHeight="1" x14ac:dyDescent="0.3">
      <c r="A82" s="15">
        <v>2645</v>
      </c>
      <c r="B82" s="16" t="s">
        <v>420</v>
      </c>
      <c r="C82" s="16" t="s">
        <v>99</v>
      </c>
      <c r="D82" s="28" t="s">
        <v>421</v>
      </c>
      <c r="E82" s="16" t="s">
        <v>422</v>
      </c>
      <c r="F82" s="16" t="s">
        <v>423</v>
      </c>
      <c r="G82" s="16" t="s">
        <v>424</v>
      </c>
      <c r="H82" s="16" t="s">
        <v>74</v>
      </c>
      <c r="I82" s="29" t="s">
        <v>414</v>
      </c>
      <c r="J82" s="29" t="s">
        <v>414</v>
      </c>
      <c r="K82" s="29" t="s">
        <v>414</v>
      </c>
      <c r="L82" s="29" t="s">
        <v>414</v>
      </c>
      <c r="M82" s="29" t="s">
        <v>414</v>
      </c>
      <c r="N82" s="29" t="s">
        <v>414</v>
      </c>
      <c r="O82" s="29" t="s">
        <v>414</v>
      </c>
      <c r="P82" s="29" t="s">
        <v>414</v>
      </c>
      <c r="Q82" s="29" t="s">
        <v>414</v>
      </c>
      <c r="R82" s="29" t="s">
        <v>414</v>
      </c>
      <c r="S82" s="29" t="s">
        <v>414</v>
      </c>
      <c r="T82" s="29" t="s">
        <v>414</v>
      </c>
      <c r="U82" s="29" t="s">
        <v>414</v>
      </c>
      <c r="V82" s="15">
        <f>VLOOKUP(AB82,바코드찍는곳!B:C,2,0)</f>
        <v>1</v>
      </c>
      <c r="W82" s="30" t="s">
        <v>414</v>
      </c>
      <c r="X82" s="19" t="s">
        <v>414</v>
      </c>
      <c r="Y82" s="17" t="s">
        <v>75</v>
      </c>
      <c r="Z82" s="17" t="s">
        <v>75</v>
      </c>
      <c r="AA82" s="17" t="s">
        <v>75</v>
      </c>
      <c r="AB82" s="31" t="s">
        <v>425</v>
      </c>
      <c r="AC82" s="19" t="s">
        <v>81</v>
      </c>
      <c r="AD82" s="19" t="s">
        <v>76</v>
      </c>
      <c r="AE82" s="28" t="s">
        <v>415</v>
      </c>
      <c r="AF82" s="16" t="s">
        <v>414</v>
      </c>
      <c r="AG82" s="16" t="s">
        <v>108</v>
      </c>
      <c r="AH82" s="16" t="s">
        <v>78</v>
      </c>
      <c r="AI82" s="16" t="s">
        <v>79</v>
      </c>
    </row>
    <row r="83" spans="1:35" ht="24.95" customHeight="1" x14ac:dyDescent="0.3">
      <c r="A83" s="15">
        <v>2675</v>
      </c>
      <c r="B83" s="16" t="s">
        <v>426</v>
      </c>
      <c r="C83" s="16" t="s">
        <v>80</v>
      </c>
      <c r="D83" s="28" t="s">
        <v>230</v>
      </c>
      <c r="E83" s="16" t="s">
        <v>427</v>
      </c>
      <c r="F83" s="16" t="s">
        <v>428</v>
      </c>
      <c r="G83" s="16" t="s">
        <v>429</v>
      </c>
      <c r="H83" s="16" t="s">
        <v>74</v>
      </c>
      <c r="I83" s="29" t="s">
        <v>414</v>
      </c>
      <c r="J83" s="29" t="s">
        <v>414</v>
      </c>
      <c r="K83" s="29" t="s">
        <v>414</v>
      </c>
      <c r="L83" s="29" t="s">
        <v>414</v>
      </c>
      <c r="M83" s="29" t="s">
        <v>414</v>
      </c>
      <c r="N83" s="29" t="s">
        <v>414</v>
      </c>
      <c r="O83" s="29" t="s">
        <v>414</v>
      </c>
      <c r="P83" s="29" t="s">
        <v>414</v>
      </c>
      <c r="Q83" s="29" t="s">
        <v>414</v>
      </c>
      <c r="R83" s="29" t="s">
        <v>414</v>
      </c>
      <c r="S83" s="29" t="s">
        <v>414</v>
      </c>
      <c r="T83" s="29" t="s">
        <v>414</v>
      </c>
      <c r="U83" s="29" t="s">
        <v>414</v>
      </c>
      <c r="V83" s="15">
        <f>VLOOKUP(AB83,바코드찍는곳!B:C,2,0)</f>
        <v>1</v>
      </c>
      <c r="W83" s="30" t="s">
        <v>414</v>
      </c>
      <c r="X83" s="19" t="s">
        <v>414</v>
      </c>
      <c r="Y83" s="17" t="s">
        <v>75</v>
      </c>
      <c r="Z83" s="17" t="s">
        <v>75</v>
      </c>
      <c r="AA83" s="17" t="s">
        <v>75</v>
      </c>
      <c r="AB83" s="31" t="s">
        <v>430</v>
      </c>
      <c r="AC83" s="19" t="s">
        <v>81</v>
      </c>
      <c r="AD83" s="19" t="s">
        <v>76</v>
      </c>
      <c r="AE83" s="28" t="s">
        <v>415</v>
      </c>
      <c r="AF83" s="16" t="s">
        <v>414</v>
      </c>
      <c r="AG83" s="16" t="s">
        <v>345</v>
      </c>
      <c r="AH83" s="16" t="s">
        <v>78</v>
      </c>
      <c r="AI83" s="16" t="s">
        <v>79</v>
      </c>
    </row>
    <row r="84" spans="1:35" ht="24.95" customHeight="1" x14ac:dyDescent="0.3">
      <c r="A84" s="15">
        <v>2679</v>
      </c>
      <c r="B84" s="16" t="s">
        <v>426</v>
      </c>
      <c r="C84" s="16" t="s">
        <v>97</v>
      </c>
      <c r="D84" s="28" t="s">
        <v>230</v>
      </c>
      <c r="E84" s="16" t="s">
        <v>427</v>
      </c>
      <c r="F84" s="16" t="s">
        <v>428</v>
      </c>
      <c r="G84" s="16" t="s">
        <v>431</v>
      </c>
      <c r="H84" s="16" t="s">
        <v>74</v>
      </c>
      <c r="I84" s="29" t="s">
        <v>414</v>
      </c>
      <c r="J84" s="29" t="s">
        <v>414</v>
      </c>
      <c r="K84" s="29" t="s">
        <v>414</v>
      </c>
      <c r="L84" s="29" t="s">
        <v>414</v>
      </c>
      <c r="M84" s="29" t="s">
        <v>414</v>
      </c>
      <c r="N84" s="29" t="s">
        <v>414</v>
      </c>
      <c r="O84" s="29" t="s">
        <v>414</v>
      </c>
      <c r="P84" s="29" t="s">
        <v>414</v>
      </c>
      <c r="Q84" s="29" t="s">
        <v>414</v>
      </c>
      <c r="R84" s="29" t="s">
        <v>414</v>
      </c>
      <c r="S84" s="29" t="s">
        <v>414</v>
      </c>
      <c r="T84" s="29" t="s">
        <v>414</v>
      </c>
      <c r="U84" s="29" t="s">
        <v>414</v>
      </c>
      <c r="V84" s="15">
        <f>VLOOKUP(AB84,바코드찍는곳!B:C,2,0)</f>
        <v>1</v>
      </c>
      <c r="W84" s="30" t="s">
        <v>414</v>
      </c>
      <c r="X84" s="19" t="s">
        <v>414</v>
      </c>
      <c r="Y84" s="17" t="s">
        <v>75</v>
      </c>
      <c r="Z84" s="17" t="s">
        <v>75</v>
      </c>
      <c r="AA84" s="17" t="s">
        <v>75</v>
      </c>
      <c r="AB84" s="31" t="s">
        <v>432</v>
      </c>
      <c r="AC84" s="19" t="s">
        <v>81</v>
      </c>
      <c r="AD84" s="19" t="s">
        <v>76</v>
      </c>
      <c r="AE84" s="28" t="s">
        <v>415</v>
      </c>
      <c r="AF84" s="16" t="s">
        <v>414</v>
      </c>
      <c r="AG84" s="16" t="s">
        <v>345</v>
      </c>
      <c r="AH84" s="16" t="s">
        <v>78</v>
      </c>
      <c r="AI84" s="16" t="s">
        <v>79</v>
      </c>
    </row>
    <row r="85" spans="1:35" ht="24.95" customHeight="1" x14ac:dyDescent="0.3">
      <c r="A85" s="15">
        <v>2688</v>
      </c>
      <c r="B85" s="16" t="s">
        <v>426</v>
      </c>
      <c r="C85" s="16" t="s">
        <v>106</v>
      </c>
      <c r="D85" s="28" t="s">
        <v>230</v>
      </c>
      <c r="E85" s="16" t="s">
        <v>427</v>
      </c>
      <c r="F85" s="16" t="s">
        <v>428</v>
      </c>
      <c r="G85" s="16" t="s">
        <v>433</v>
      </c>
      <c r="H85" s="16" t="s">
        <v>74</v>
      </c>
      <c r="I85" s="29" t="s">
        <v>414</v>
      </c>
      <c r="J85" s="29" t="s">
        <v>414</v>
      </c>
      <c r="K85" s="29" t="s">
        <v>414</v>
      </c>
      <c r="L85" s="29" t="s">
        <v>414</v>
      </c>
      <c r="M85" s="29" t="s">
        <v>414</v>
      </c>
      <c r="N85" s="29" t="s">
        <v>414</v>
      </c>
      <c r="O85" s="29" t="s">
        <v>414</v>
      </c>
      <c r="P85" s="29" t="s">
        <v>414</v>
      </c>
      <c r="Q85" s="29" t="s">
        <v>414</v>
      </c>
      <c r="R85" s="29" t="s">
        <v>414</v>
      </c>
      <c r="S85" s="29" t="s">
        <v>414</v>
      </c>
      <c r="T85" s="29" t="s">
        <v>414</v>
      </c>
      <c r="U85" s="29" t="s">
        <v>414</v>
      </c>
      <c r="V85" s="15">
        <f>VLOOKUP(AB85,바코드찍는곳!B:C,2,0)</f>
        <v>1</v>
      </c>
      <c r="W85" s="30" t="s">
        <v>414</v>
      </c>
      <c r="X85" s="19" t="s">
        <v>414</v>
      </c>
      <c r="Y85" s="17" t="s">
        <v>75</v>
      </c>
      <c r="Z85" s="17" t="s">
        <v>75</v>
      </c>
      <c r="AA85" s="17" t="s">
        <v>75</v>
      </c>
      <c r="AB85" s="31" t="s">
        <v>434</v>
      </c>
      <c r="AC85" s="19" t="s">
        <v>81</v>
      </c>
      <c r="AD85" s="19" t="s">
        <v>76</v>
      </c>
      <c r="AE85" s="28" t="s">
        <v>415</v>
      </c>
      <c r="AF85" s="16" t="s">
        <v>414</v>
      </c>
      <c r="AG85" s="16" t="s">
        <v>345</v>
      </c>
      <c r="AH85" s="16" t="s">
        <v>78</v>
      </c>
      <c r="AI85" s="16" t="s">
        <v>79</v>
      </c>
    </row>
    <row r="86" spans="1:35" ht="24.95" customHeight="1" x14ac:dyDescent="0.3">
      <c r="A86" s="15">
        <v>2735</v>
      </c>
      <c r="B86" s="16" t="s">
        <v>435</v>
      </c>
      <c r="C86" s="16" t="s">
        <v>72</v>
      </c>
      <c r="D86" s="28" t="s">
        <v>436</v>
      </c>
      <c r="E86" s="16" t="s">
        <v>437</v>
      </c>
      <c r="F86" s="16" t="s">
        <v>438</v>
      </c>
      <c r="G86" s="16" t="s">
        <v>439</v>
      </c>
      <c r="H86" s="16" t="s">
        <v>74</v>
      </c>
      <c r="I86" s="29" t="s">
        <v>414</v>
      </c>
      <c r="J86" s="29" t="s">
        <v>414</v>
      </c>
      <c r="K86" s="29" t="s">
        <v>414</v>
      </c>
      <c r="L86" s="29" t="s">
        <v>414</v>
      </c>
      <c r="M86" s="29" t="s">
        <v>414</v>
      </c>
      <c r="N86" s="29" t="s">
        <v>414</v>
      </c>
      <c r="O86" s="29" t="s">
        <v>414</v>
      </c>
      <c r="P86" s="29" t="s">
        <v>414</v>
      </c>
      <c r="Q86" s="29" t="s">
        <v>414</v>
      </c>
      <c r="R86" s="29" t="s">
        <v>414</v>
      </c>
      <c r="S86" s="29" t="s">
        <v>414</v>
      </c>
      <c r="T86" s="29" t="s">
        <v>414</v>
      </c>
      <c r="U86" s="29" t="s">
        <v>414</v>
      </c>
      <c r="V86" s="15">
        <f>VLOOKUP(AB86,바코드찍는곳!B:C,2,0)</f>
        <v>1</v>
      </c>
      <c r="W86" s="30" t="s">
        <v>414</v>
      </c>
      <c r="X86" s="19" t="s">
        <v>414</v>
      </c>
      <c r="Y86" s="17" t="s">
        <v>75</v>
      </c>
      <c r="Z86" s="17" t="s">
        <v>75</v>
      </c>
      <c r="AA86" s="17" t="s">
        <v>75</v>
      </c>
      <c r="AB86" s="31" t="s">
        <v>440</v>
      </c>
      <c r="AC86" s="19" t="s">
        <v>81</v>
      </c>
      <c r="AD86" s="19" t="s">
        <v>76</v>
      </c>
      <c r="AE86" s="28" t="s">
        <v>415</v>
      </c>
      <c r="AF86" s="16" t="s">
        <v>414</v>
      </c>
      <c r="AG86" s="16" t="s">
        <v>113</v>
      </c>
      <c r="AH86" s="16" t="s">
        <v>78</v>
      </c>
      <c r="AI86" s="16" t="s">
        <v>79</v>
      </c>
    </row>
    <row r="87" spans="1:35" ht="24.95" customHeight="1" x14ac:dyDescent="0.3">
      <c r="A87" s="15">
        <v>2738</v>
      </c>
      <c r="B87" s="16" t="s">
        <v>435</v>
      </c>
      <c r="C87" s="16" t="s">
        <v>83</v>
      </c>
      <c r="D87" s="28" t="s">
        <v>436</v>
      </c>
      <c r="E87" s="16" t="s">
        <v>437</v>
      </c>
      <c r="F87" s="16" t="s">
        <v>438</v>
      </c>
      <c r="G87" s="16" t="s">
        <v>441</v>
      </c>
      <c r="H87" s="16" t="s">
        <v>74</v>
      </c>
      <c r="I87" s="29" t="s">
        <v>414</v>
      </c>
      <c r="J87" s="29" t="s">
        <v>414</v>
      </c>
      <c r="K87" s="29" t="s">
        <v>414</v>
      </c>
      <c r="L87" s="29" t="s">
        <v>414</v>
      </c>
      <c r="M87" s="29" t="s">
        <v>414</v>
      </c>
      <c r="N87" s="29" t="s">
        <v>414</v>
      </c>
      <c r="O87" s="29" t="s">
        <v>414</v>
      </c>
      <c r="P87" s="29" t="s">
        <v>414</v>
      </c>
      <c r="Q87" s="29" t="s">
        <v>414</v>
      </c>
      <c r="R87" s="29" t="s">
        <v>414</v>
      </c>
      <c r="S87" s="29" t="s">
        <v>414</v>
      </c>
      <c r="T87" s="29" t="s">
        <v>414</v>
      </c>
      <c r="U87" s="29" t="s">
        <v>414</v>
      </c>
      <c r="V87" s="15">
        <f>VLOOKUP(AB87,바코드찍는곳!B:C,2,0)</f>
        <v>2</v>
      </c>
      <c r="W87" s="30" t="s">
        <v>414</v>
      </c>
      <c r="X87" s="19" t="s">
        <v>414</v>
      </c>
      <c r="Y87" s="17" t="s">
        <v>75</v>
      </c>
      <c r="Z87" s="17" t="s">
        <v>75</v>
      </c>
      <c r="AA87" s="17" t="s">
        <v>75</v>
      </c>
      <c r="AB87" s="31" t="s">
        <v>442</v>
      </c>
      <c r="AC87" s="19" t="s">
        <v>81</v>
      </c>
      <c r="AD87" s="19" t="s">
        <v>76</v>
      </c>
      <c r="AE87" s="28" t="s">
        <v>415</v>
      </c>
      <c r="AF87" s="16" t="s">
        <v>414</v>
      </c>
      <c r="AG87" s="16" t="s">
        <v>113</v>
      </c>
      <c r="AH87" s="16" t="s">
        <v>78</v>
      </c>
      <c r="AI87" s="16" t="s">
        <v>79</v>
      </c>
    </row>
    <row r="88" spans="1:35" ht="24.95" customHeight="1" x14ac:dyDescent="0.2">
      <c r="A88" s="15">
        <v>2813</v>
      </c>
      <c r="B88" s="32" t="s">
        <v>443</v>
      </c>
      <c r="C88" s="32" t="s">
        <v>84</v>
      </c>
      <c r="D88" s="15">
        <v>29800</v>
      </c>
      <c r="E88" s="15">
        <v>7733286978</v>
      </c>
      <c r="F88" s="32" t="s">
        <v>446</v>
      </c>
      <c r="G88" s="32" t="s">
        <v>449</v>
      </c>
      <c r="H88" s="16" t="s">
        <v>74</v>
      </c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>
        <f>VLOOKUP(AB88,바코드찍는곳!B:C,2,0)</f>
        <v>2</v>
      </c>
      <c r="W88" s="30" t="s">
        <v>414</v>
      </c>
      <c r="X88" s="19" t="s">
        <v>414</v>
      </c>
      <c r="Y88" s="17" t="s">
        <v>75</v>
      </c>
      <c r="Z88" s="17" t="s">
        <v>75</v>
      </c>
      <c r="AA88" s="17" t="s">
        <v>75</v>
      </c>
      <c r="AB88" s="33">
        <v>8809848769641</v>
      </c>
      <c r="AC88" s="19" t="s">
        <v>81</v>
      </c>
      <c r="AD88" s="19" t="s">
        <v>76</v>
      </c>
      <c r="AE88" s="28" t="s">
        <v>415</v>
      </c>
      <c r="AF88" s="16" t="s">
        <v>414</v>
      </c>
      <c r="AG88" s="15" t="s">
        <v>459</v>
      </c>
      <c r="AH88" s="16" t="s">
        <v>78</v>
      </c>
      <c r="AI88" s="16" t="s">
        <v>79</v>
      </c>
    </row>
    <row r="89" spans="1:35" ht="24.95" customHeight="1" x14ac:dyDescent="0.2">
      <c r="A89" s="15">
        <v>2814</v>
      </c>
      <c r="B89" s="32" t="s">
        <v>443</v>
      </c>
      <c r="C89" s="32" t="s">
        <v>80</v>
      </c>
      <c r="D89" s="15">
        <v>29800</v>
      </c>
      <c r="E89" s="15">
        <v>7733286978</v>
      </c>
      <c r="F89" s="32" t="s">
        <v>446</v>
      </c>
      <c r="G89" s="32" t="s">
        <v>450</v>
      </c>
      <c r="H89" s="16" t="s">
        <v>74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>
        <f>VLOOKUP(AB89,바코드찍는곳!B:C,2,0)</f>
        <v>2</v>
      </c>
      <c r="W89" s="30" t="s">
        <v>414</v>
      </c>
      <c r="X89" s="19" t="s">
        <v>414</v>
      </c>
      <c r="Y89" s="17" t="s">
        <v>75</v>
      </c>
      <c r="Z89" s="17" t="s">
        <v>75</v>
      </c>
      <c r="AA89" s="17" t="s">
        <v>75</v>
      </c>
      <c r="AB89" s="33">
        <v>8809848769610</v>
      </c>
      <c r="AC89" s="19" t="s">
        <v>81</v>
      </c>
      <c r="AD89" s="19" t="s">
        <v>76</v>
      </c>
      <c r="AE89" s="28" t="s">
        <v>415</v>
      </c>
      <c r="AF89" s="16" t="s">
        <v>414</v>
      </c>
      <c r="AG89" s="15" t="s">
        <v>459</v>
      </c>
      <c r="AH89" s="16" t="s">
        <v>78</v>
      </c>
      <c r="AI89" s="16" t="s">
        <v>79</v>
      </c>
    </row>
    <row r="90" spans="1:35" ht="24.95" customHeight="1" x14ac:dyDescent="0.2">
      <c r="A90" s="15">
        <v>2816</v>
      </c>
      <c r="B90" s="32" t="s">
        <v>443</v>
      </c>
      <c r="C90" s="32" t="s">
        <v>82</v>
      </c>
      <c r="D90" s="15">
        <v>29800</v>
      </c>
      <c r="E90" s="15">
        <v>7733286978</v>
      </c>
      <c r="F90" s="32" t="s">
        <v>446</v>
      </c>
      <c r="G90" s="32" t="s">
        <v>451</v>
      </c>
      <c r="H90" s="16" t="s">
        <v>74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>
        <f>VLOOKUP(AB90,바코드찍는곳!B:C,2,0)</f>
        <v>2</v>
      </c>
      <c r="W90" s="30" t="s">
        <v>414</v>
      </c>
      <c r="X90" s="19" t="s">
        <v>414</v>
      </c>
      <c r="Y90" s="17" t="s">
        <v>75</v>
      </c>
      <c r="Z90" s="17" t="s">
        <v>75</v>
      </c>
      <c r="AA90" s="17" t="s">
        <v>75</v>
      </c>
      <c r="AB90" s="33">
        <v>8809848769627</v>
      </c>
      <c r="AC90" s="19" t="s">
        <v>81</v>
      </c>
      <c r="AD90" s="19" t="s">
        <v>76</v>
      </c>
      <c r="AE90" s="28" t="s">
        <v>415</v>
      </c>
      <c r="AF90" s="16" t="s">
        <v>414</v>
      </c>
      <c r="AG90" s="15" t="s">
        <v>459</v>
      </c>
      <c r="AH90" s="16" t="s">
        <v>78</v>
      </c>
      <c r="AI90" s="16" t="s">
        <v>79</v>
      </c>
    </row>
    <row r="91" spans="1:35" ht="24.95" customHeight="1" x14ac:dyDescent="0.2">
      <c r="A91" s="15">
        <v>2817</v>
      </c>
      <c r="B91" s="32" t="s">
        <v>443</v>
      </c>
      <c r="C91" s="32" t="s">
        <v>83</v>
      </c>
      <c r="D91" s="15">
        <v>29800</v>
      </c>
      <c r="E91" s="15">
        <v>7733286978</v>
      </c>
      <c r="F91" s="32" t="s">
        <v>446</v>
      </c>
      <c r="G91" s="32" t="s">
        <v>452</v>
      </c>
      <c r="H91" s="16" t="s">
        <v>74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>
        <f>VLOOKUP(AB91,바코드찍는곳!B:C,2,0)</f>
        <v>2</v>
      </c>
      <c r="W91" s="30" t="s">
        <v>414</v>
      </c>
      <c r="X91" s="19" t="s">
        <v>414</v>
      </c>
      <c r="Y91" s="17" t="s">
        <v>75</v>
      </c>
      <c r="Z91" s="17" t="s">
        <v>75</v>
      </c>
      <c r="AA91" s="17" t="s">
        <v>75</v>
      </c>
      <c r="AB91" s="33">
        <v>8809848769634</v>
      </c>
      <c r="AC91" s="19" t="s">
        <v>81</v>
      </c>
      <c r="AD91" s="19" t="s">
        <v>76</v>
      </c>
      <c r="AE91" s="28" t="s">
        <v>415</v>
      </c>
      <c r="AF91" s="16" t="s">
        <v>414</v>
      </c>
      <c r="AG91" s="15" t="s">
        <v>459</v>
      </c>
      <c r="AH91" s="16" t="s">
        <v>78</v>
      </c>
      <c r="AI91" s="16" t="s">
        <v>79</v>
      </c>
    </row>
    <row r="92" spans="1:35" ht="24.95" customHeight="1" x14ac:dyDescent="0.2">
      <c r="A92" s="15">
        <v>2812</v>
      </c>
      <c r="B92" s="32" t="s">
        <v>444</v>
      </c>
      <c r="C92" s="32" t="s">
        <v>80</v>
      </c>
      <c r="D92" s="15">
        <v>29800</v>
      </c>
      <c r="E92" s="15">
        <v>7733277090</v>
      </c>
      <c r="F92" s="32" t="s">
        <v>447</v>
      </c>
      <c r="G92" s="32" t="s">
        <v>453</v>
      </c>
      <c r="H92" s="16" t="s">
        <v>74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>
        <f>VLOOKUP(AB92,바코드찍는곳!B:C,2,0)</f>
        <v>1</v>
      </c>
      <c r="W92" s="30" t="s">
        <v>414</v>
      </c>
      <c r="X92" s="19" t="s">
        <v>414</v>
      </c>
      <c r="Y92" s="17" t="s">
        <v>75</v>
      </c>
      <c r="Z92" s="17" t="s">
        <v>75</v>
      </c>
      <c r="AA92" s="17" t="s">
        <v>75</v>
      </c>
      <c r="AB92" s="18">
        <v>8809848769566</v>
      </c>
      <c r="AC92" s="19" t="s">
        <v>81</v>
      </c>
      <c r="AD92" s="19" t="s">
        <v>76</v>
      </c>
      <c r="AE92" s="28" t="s">
        <v>415</v>
      </c>
      <c r="AF92" s="16" t="s">
        <v>414</v>
      </c>
      <c r="AG92" s="15" t="s">
        <v>459</v>
      </c>
      <c r="AH92" s="16" t="s">
        <v>78</v>
      </c>
      <c r="AI92" s="16" t="s">
        <v>79</v>
      </c>
    </row>
    <row r="93" spans="1:35" ht="24.95" customHeight="1" x14ac:dyDescent="0.2">
      <c r="A93" s="15">
        <v>2814</v>
      </c>
      <c r="B93" s="32" t="s">
        <v>444</v>
      </c>
      <c r="C93" s="32" t="s">
        <v>83</v>
      </c>
      <c r="D93" s="15">
        <v>29800</v>
      </c>
      <c r="E93" s="15">
        <v>7733277090</v>
      </c>
      <c r="F93" s="32" t="s">
        <v>447</v>
      </c>
      <c r="G93" s="32" t="s">
        <v>454</v>
      </c>
      <c r="H93" s="16" t="s">
        <v>74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>
        <f>VLOOKUP(AB93,바코드찍는곳!B:C,2,0)</f>
        <v>1</v>
      </c>
      <c r="W93" s="30" t="s">
        <v>414</v>
      </c>
      <c r="X93" s="19" t="s">
        <v>414</v>
      </c>
      <c r="Y93" s="17" t="s">
        <v>75</v>
      </c>
      <c r="Z93" s="17" t="s">
        <v>75</v>
      </c>
      <c r="AA93" s="17" t="s">
        <v>75</v>
      </c>
      <c r="AB93" s="18">
        <v>8809848769580</v>
      </c>
      <c r="AC93" s="19" t="s">
        <v>81</v>
      </c>
      <c r="AD93" s="19" t="s">
        <v>76</v>
      </c>
      <c r="AE93" s="28" t="s">
        <v>415</v>
      </c>
      <c r="AF93" s="16" t="s">
        <v>414</v>
      </c>
      <c r="AG93" s="15" t="s">
        <v>459</v>
      </c>
      <c r="AH93" s="16" t="s">
        <v>78</v>
      </c>
      <c r="AI93" s="16" t="s">
        <v>79</v>
      </c>
    </row>
    <row r="94" spans="1:35" ht="24.95" customHeight="1" x14ac:dyDescent="0.2">
      <c r="A94" s="15">
        <v>2816</v>
      </c>
      <c r="B94" s="32" t="s">
        <v>445</v>
      </c>
      <c r="C94" s="32" t="s">
        <v>83</v>
      </c>
      <c r="D94" s="15">
        <v>29800</v>
      </c>
      <c r="E94" s="15">
        <v>7733260187</v>
      </c>
      <c r="F94" s="32" t="s">
        <v>448</v>
      </c>
      <c r="G94" s="32" t="s">
        <v>455</v>
      </c>
      <c r="H94" s="16" t="s">
        <v>74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>
        <f>VLOOKUP(AB94,바코드찍는곳!B:C,2,0)</f>
        <v>2</v>
      </c>
      <c r="W94" s="30" t="s">
        <v>414</v>
      </c>
      <c r="X94" s="19" t="s">
        <v>414</v>
      </c>
      <c r="Y94" s="17" t="s">
        <v>75</v>
      </c>
      <c r="Z94" s="17" t="s">
        <v>75</v>
      </c>
      <c r="AA94" s="17" t="s">
        <v>75</v>
      </c>
      <c r="AB94" s="18">
        <v>8809848769481</v>
      </c>
      <c r="AC94" s="19" t="s">
        <v>81</v>
      </c>
      <c r="AD94" s="19" t="s">
        <v>76</v>
      </c>
      <c r="AE94" s="28" t="s">
        <v>415</v>
      </c>
      <c r="AF94" s="16" t="s">
        <v>414</v>
      </c>
      <c r="AG94" s="15" t="s">
        <v>459</v>
      </c>
      <c r="AH94" s="16" t="s">
        <v>78</v>
      </c>
      <c r="AI94" s="16" t="s">
        <v>79</v>
      </c>
    </row>
    <row r="95" spans="1:35" ht="24.95" customHeight="1" x14ac:dyDescent="0.2">
      <c r="A95" s="15">
        <v>2817</v>
      </c>
      <c r="B95" s="32" t="s">
        <v>445</v>
      </c>
      <c r="C95" s="32" t="s">
        <v>82</v>
      </c>
      <c r="D95" s="15">
        <v>29800</v>
      </c>
      <c r="E95" s="15">
        <v>7733260187</v>
      </c>
      <c r="F95" s="32" t="s">
        <v>448</v>
      </c>
      <c r="G95" s="32" t="s">
        <v>456</v>
      </c>
      <c r="H95" s="16" t="s">
        <v>74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>
        <f>VLOOKUP(AB95,바코드찍는곳!B:C,2,0)</f>
        <v>2</v>
      </c>
      <c r="W95" s="30" t="s">
        <v>414</v>
      </c>
      <c r="X95" s="19" t="s">
        <v>414</v>
      </c>
      <c r="Y95" s="17" t="s">
        <v>75</v>
      </c>
      <c r="Z95" s="17" t="s">
        <v>75</v>
      </c>
      <c r="AA95" s="17" t="s">
        <v>75</v>
      </c>
      <c r="AB95" s="18">
        <v>8809848769474</v>
      </c>
      <c r="AC95" s="19" t="s">
        <v>81</v>
      </c>
      <c r="AD95" s="19" t="s">
        <v>76</v>
      </c>
      <c r="AE95" s="28" t="s">
        <v>415</v>
      </c>
      <c r="AF95" s="16" t="s">
        <v>414</v>
      </c>
      <c r="AG95" s="15" t="s">
        <v>459</v>
      </c>
      <c r="AH95" s="16" t="s">
        <v>78</v>
      </c>
      <c r="AI95" s="16" t="s">
        <v>79</v>
      </c>
    </row>
    <row r="96" spans="1:35" ht="24.95" customHeight="1" x14ac:dyDescent="0.2">
      <c r="A96" s="15">
        <v>2812</v>
      </c>
      <c r="B96" s="32" t="s">
        <v>445</v>
      </c>
      <c r="C96" s="32" t="s">
        <v>80</v>
      </c>
      <c r="D96" s="15">
        <v>29800</v>
      </c>
      <c r="E96" s="15">
        <v>7733260187</v>
      </c>
      <c r="F96" s="32" t="s">
        <v>448</v>
      </c>
      <c r="G96" s="32" t="s">
        <v>457</v>
      </c>
      <c r="H96" s="16" t="s">
        <v>74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>
        <f>VLOOKUP(AB96,바코드찍는곳!B:C,2,0)</f>
        <v>3</v>
      </c>
      <c r="W96" s="30" t="s">
        <v>414</v>
      </c>
      <c r="X96" s="19" t="s">
        <v>414</v>
      </c>
      <c r="Y96" s="17" t="s">
        <v>75</v>
      </c>
      <c r="Z96" s="17" t="s">
        <v>75</v>
      </c>
      <c r="AA96" s="17" t="s">
        <v>75</v>
      </c>
      <c r="AB96" s="18">
        <v>8809848769467</v>
      </c>
      <c r="AC96" s="19" t="s">
        <v>81</v>
      </c>
      <c r="AD96" s="19" t="s">
        <v>76</v>
      </c>
      <c r="AE96" s="28" t="s">
        <v>415</v>
      </c>
      <c r="AF96" s="16" t="s">
        <v>414</v>
      </c>
      <c r="AG96" s="15" t="s">
        <v>459</v>
      </c>
      <c r="AH96" s="16" t="s">
        <v>78</v>
      </c>
      <c r="AI96" s="16" t="s">
        <v>79</v>
      </c>
    </row>
    <row r="97" spans="1:35" ht="24.95" customHeight="1" x14ac:dyDescent="0.2">
      <c r="A97" s="15">
        <v>2813</v>
      </c>
      <c r="B97" s="32" t="s">
        <v>445</v>
      </c>
      <c r="C97" s="32" t="s">
        <v>72</v>
      </c>
      <c r="D97" s="15">
        <v>29800</v>
      </c>
      <c r="E97" s="15">
        <v>7733260187</v>
      </c>
      <c r="F97" s="32" t="s">
        <v>448</v>
      </c>
      <c r="G97" s="32" t="s">
        <v>458</v>
      </c>
      <c r="H97" s="16" t="s">
        <v>74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>
        <f>VLOOKUP(AB97,바코드찍는곳!B:C,2,0)</f>
        <v>2</v>
      </c>
      <c r="W97" s="30" t="s">
        <v>414</v>
      </c>
      <c r="X97" s="19" t="s">
        <v>414</v>
      </c>
      <c r="Y97" s="17" t="s">
        <v>75</v>
      </c>
      <c r="Z97" s="17" t="s">
        <v>75</v>
      </c>
      <c r="AA97" s="17" t="s">
        <v>75</v>
      </c>
      <c r="AB97" s="18">
        <v>8809848769450</v>
      </c>
      <c r="AC97" s="19" t="s">
        <v>81</v>
      </c>
      <c r="AD97" s="19" t="s">
        <v>76</v>
      </c>
      <c r="AE97" s="28" t="s">
        <v>415</v>
      </c>
      <c r="AF97" s="16" t="s">
        <v>414</v>
      </c>
      <c r="AG97" s="15" t="s">
        <v>459</v>
      </c>
      <c r="AH97" s="16" t="s">
        <v>78</v>
      </c>
      <c r="AI97" s="16" t="s">
        <v>79</v>
      </c>
    </row>
    <row r="98" spans="1:35" ht="24.95" customHeight="1" x14ac:dyDescent="0.2">
      <c r="A98" s="15">
        <v>2814</v>
      </c>
      <c r="B98" s="32" t="s">
        <v>460</v>
      </c>
      <c r="C98" s="32" t="s">
        <v>461</v>
      </c>
      <c r="D98" s="15">
        <v>38800</v>
      </c>
      <c r="E98" s="15">
        <v>8475194197</v>
      </c>
      <c r="F98" s="15">
        <v>15275889359</v>
      </c>
      <c r="G98" s="15">
        <v>91538713980</v>
      </c>
      <c r="H98" s="16" t="s">
        <v>74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>
        <f>VLOOKUP(AB98,바코드찍는곳!B:C,2,0)</f>
        <v>2</v>
      </c>
      <c r="W98" s="30" t="s">
        <v>414</v>
      </c>
      <c r="X98" s="19" t="s">
        <v>414</v>
      </c>
      <c r="Y98" s="17" t="s">
        <v>75</v>
      </c>
      <c r="Z98" s="17" t="s">
        <v>75</v>
      </c>
      <c r="AA98" s="17" t="s">
        <v>75</v>
      </c>
      <c r="AB98" s="18">
        <v>8800242294807</v>
      </c>
      <c r="AC98" s="19" t="s">
        <v>81</v>
      </c>
      <c r="AD98" s="19" t="s">
        <v>76</v>
      </c>
      <c r="AE98" s="28" t="s">
        <v>415</v>
      </c>
      <c r="AF98" s="16" t="s">
        <v>414</v>
      </c>
      <c r="AG98" s="15" t="s">
        <v>459</v>
      </c>
      <c r="AH98" s="16" t="s">
        <v>78</v>
      </c>
      <c r="AI98" s="16" t="s">
        <v>79</v>
      </c>
    </row>
    <row r="99" spans="1:35" ht="24.95" customHeight="1" x14ac:dyDescent="0.2">
      <c r="A99" s="15">
        <v>2817</v>
      </c>
      <c r="B99" s="32" t="s">
        <v>460</v>
      </c>
      <c r="C99" s="32" t="s">
        <v>462</v>
      </c>
      <c r="D99" s="15">
        <v>38800</v>
      </c>
      <c r="E99" s="15">
        <v>8475194197</v>
      </c>
      <c r="F99" s="15">
        <v>15275889359</v>
      </c>
      <c r="G99" s="15">
        <v>91538713974</v>
      </c>
      <c r="H99" s="16" t="s">
        <v>74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>
        <f>VLOOKUP(AB99,바코드찍는곳!B:C,2,0)</f>
        <v>2</v>
      </c>
      <c r="W99" s="30" t="s">
        <v>414</v>
      </c>
      <c r="X99" s="19" t="s">
        <v>414</v>
      </c>
      <c r="Y99" s="17" t="s">
        <v>75</v>
      </c>
      <c r="Z99" s="17" t="s">
        <v>75</v>
      </c>
      <c r="AA99" s="17" t="s">
        <v>75</v>
      </c>
      <c r="AB99" s="18">
        <v>8800242294838</v>
      </c>
      <c r="AC99" s="19" t="s">
        <v>81</v>
      </c>
      <c r="AD99" s="19" t="s">
        <v>76</v>
      </c>
      <c r="AE99" s="28" t="s">
        <v>415</v>
      </c>
      <c r="AF99" s="16" t="s">
        <v>414</v>
      </c>
      <c r="AG99" s="15" t="s">
        <v>459</v>
      </c>
      <c r="AH99" s="16" t="s">
        <v>78</v>
      </c>
      <c r="AI99" s="16" t="s">
        <v>79</v>
      </c>
    </row>
    <row r="100" spans="1:35" ht="24.95" customHeight="1" x14ac:dyDescent="0.2">
      <c r="A100" s="15">
        <v>2818</v>
      </c>
      <c r="B100" s="32" t="s">
        <v>460</v>
      </c>
      <c r="C100" s="32" t="s">
        <v>463</v>
      </c>
      <c r="D100" s="15">
        <v>38800</v>
      </c>
      <c r="E100" s="15">
        <v>8475194197</v>
      </c>
      <c r="F100" s="15">
        <v>15275889359</v>
      </c>
      <c r="G100" s="15">
        <v>91538713956</v>
      </c>
      <c r="H100" s="16" t="s">
        <v>74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>
        <f>VLOOKUP(AB100,바코드찍는곳!B:C,2,0)</f>
        <v>1</v>
      </c>
      <c r="W100" s="30" t="s">
        <v>414</v>
      </c>
      <c r="X100" s="19" t="s">
        <v>414</v>
      </c>
      <c r="Y100" s="17" t="s">
        <v>75</v>
      </c>
      <c r="Z100" s="17" t="s">
        <v>75</v>
      </c>
      <c r="AA100" s="17" t="s">
        <v>75</v>
      </c>
      <c r="AB100" s="18">
        <v>8800242294845</v>
      </c>
      <c r="AC100" s="19" t="s">
        <v>81</v>
      </c>
      <c r="AD100" s="19" t="s">
        <v>76</v>
      </c>
      <c r="AE100" s="28" t="s">
        <v>415</v>
      </c>
      <c r="AF100" s="16" t="s">
        <v>414</v>
      </c>
      <c r="AG100" s="15" t="s">
        <v>459</v>
      </c>
      <c r="AH100" s="16" t="s">
        <v>78</v>
      </c>
      <c r="AI100" s="16" t="s">
        <v>79</v>
      </c>
    </row>
    <row r="101" spans="1:35" ht="24.95" customHeight="1" x14ac:dyDescent="0.2">
      <c r="A101" s="15">
        <v>2823</v>
      </c>
      <c r="B101" s="32" t="s">
        <v>464</v>
      </c>
      <c r="C101" s="15" t="s">
        <v>465</v>
      </c>
      <c r="D101" s="15">
        <v>29800</v>
      </c>
      <c r="E101" s="15">
        <v>8475198073</v>
      </c>
      <c r="F101" s="15">
        <v>15275892285</v>
      </c>
      <c r="G101" s="15">
        <v>91538722305</v>
      </c>
      <c r="H101" s="16" t="s">
        <v>74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>
        <f>VLOOKUP(AB101,바코드찍는곳!B:C,2,0)</f>
        <v>2</v>
      </c>
      <c r="W101" s="30" t="s">
        <v>414</v>
      </c>
      <c r="X101" s="19" t="s">
        <v>414</v>
      </c>
      <c r="Y101" s="17" t="s">
        <v>75</v>
      </c>
      <c r="Z101" s="17" t="s">
        <v>75</v>
      </c>
      <c r="AA101" s="17" t="s">
        <v>75</v>
      </c>
      <c r="AB101" s="18">
        <v>8800242294890</v>
      </c>
      <c r="AC101" s="19" t="s">
        <v>81</v>
      </c>
      <c r="AD101" s="19" t="s">
        <v>76</v>
      </c>
      <c r="AE101" s="28" t="s">
        <v>415</v>
      </c>
      <c r="AF101" s="16" t="s">
        <v>414</v>
      </c>
      <c r="AG101" s="15" t="s">
        <v>459</v>
      </c>
      <c r="AH101" s="16" t="s">
        <v>78</v>
      </c>
      <c r="AI101" s="16" t="s">
        <v>79</v>
      </c>
    </row>
    <row r="102" spans="1:35" ht="24.95" customHeight="1" x14ac:dyDescent="0.2">
      <c r="A102" s="15">
        <v>2824</v>
      </c>
      <c r="B102" s="32" t="s">
        <v>464</v>
      </c>
      <c r="C102" s="15" t="s">
        <v>466</v>
      </c>
      <c r="D102" s="15">
        <v>29800</v>
      </c>
      <c r="E102" s="15">
        <v>8475198073</v>
      </c>
      <c r="F102" s="15">
        <v>15275892285</v>
      </c>
      <c r="G102" s="15">
        <v>91538722311</v>
      </c>
      <c r="H102" s="16" t="s">
        <v>74</v>
      </c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>
        <f>VLOOKUP(AB102,바코드찍는곳!B:C,2,0)</f>
        <v>2</v>
      </c>
      <c r="W102" s="30" t="s">
        <v>414</v>
      </c>
      <c r="X102" s="19" t="s">
        <v>414</v>
      </c>
      <c r="Y102" s="17" t="s">
        <v>75</v>
      </c>
      <c r="Z102" s="17" t="s">
        <v>75</v>
      </c>
      <c r="AA102" s="17" t="s">
        <v>75</v>
      </c>
      <c r="AB102" s="18">
        <v>8800242294906</v>
      </c>
      <c r="AC102" s="19" t="s">
        <v>81</v>
      </c>
      <c r="AD102" s="19" t="s">
        <v>76</v>
      </c>
      <c r="AE102" s="28" t="s">
        <v>415</v>
      </c>
      <c r="AF102" s="16" t="s">
        <v>414</v>
      </c>
      <c r="AG102" s="15" t="s">
        <v>459</v>
      </c>
      <c r="AH102" s="16" t="s">
        <v>78</v>
      </c>
      <c r="AI102" s="16" t="s">
        <v>79</v>
      </c>
    </row>
  </sheetData>
  <autoFilter ref="A3:AM102" xr:uid="{00000000-0009-0000-0000-000000000000}"/>
  <mergeCells count="12">
    <mergeCell ref="D1:U1"/>
    <mergeCell ref="V1:AB1"/>
    <mergeCell ref="AC1:AD1"/>
    <mergeCell ref="AE1:AI1"/>
    <mergeCell ref="B2:C2"/>
    <mergeCell ref="E2:H2"/>
    <mergeCell ref="I2:P2"/>
    <mergeCell ref="Q2:U2"/>
    <mergeCell ref="V2:W2"/>
    <mergeCell ref="X2:AA2"/>
    <mergeCell ref="AB2:AD2"/>
    <mergeCell ref="AE2:AI2"/>
  </mergeCells>
  <phoneticPr fontId="4" type="noConversion"/>
  <dataValidations count="7">
    <dataValidation type="list" allowBlank="1" showErrorMessage="1" errorTitle="ERROR" error="판매자배송, 로켓그로스 중 하나의 값만 입력할 수 있습니다." sqref="H82:H102 H5:H79" xr:uid="{00000000-0002-0000-0000-000000000000}">
      <formula1>"판매자배송,로켓그로스"</formula1>
    </dataValidation>
    <dataValidation type="list" allowBlank="1" showErrorMessage="1" errorTitle="ERROR" error="Small, Medium, Large 중 하나의 값만 입력할 수 있습니다." sqref="AC82:AC102 AC5:AC79" xr:uid="{00000000-0002-0000-0000-000001000000}">
      <formula1>"Small,Medium,Large"</formula1>
    </dataValidation>
    <dataValidation type="list" allowBlank="1" showErrorMessage="1" errorTitle="ERROR" error="해당, 해당아님 중 하나의 값만 입력할 수 있습니다." sqref="AD82:AD102 AD5:AD79" xr:uid="{00000000-0002-0000-0000-000002000000}">
      <formula1>"해당,해당아님"</formula1>
    </dataValidation>
    <dataValidation type="list" allowBlank="1" showErrorMessage="1" errorTitle="ERROR" error="병행수입, 비병행수입 중 하나의 값만 입력할 수 있습니다." sqref="AH82:AH102 AH5:AH79" xr:uid="{00000000-0002-0000-0000-000003000000}">
      <formula1>"병행수입,비병행수입"</formula1>
    </dataValidation>
    <dataValidation type="list" allowBlank="1" showErrorMessage="1" errorTitle="ERROR" error="과세, 면세 중 하나의 값만 입력할 수 있습니다." sqref="AI82:AI102 AI5:AI79" xr:uid="{00000000-0002-0000-0000-000004000000}">
      <formula1>"과세,면세"</formula1>
    </dataValidation>
    <dataValidation type="whole" allowBlank="1" showErrorMessage="1" errorTitle="ERROR" error="숫자만 입력할 수 있습니다." sqref="I82:U87" xr:uid="{00000000-0002-0000-0000-000005000000}">
      <formula1>0</formula1>
      <formula2>999999999999999</formula2>
    </dataValidation>
    <dataValidation type="decimal" allowBlank="1" showErrorMessage="1" errorTitle="ERROR" error="0 ~ 9223372036854775807 사이 숫자만 입력할 수 있습니다." sqref="W82:X102 D82:D87 AE82:AE102" xr:uid="{00000000-0002-0000-0000-000006000000}">
      <formula1>0</formula1>
      <formula2>9223372036854770000</formula2>
    </dataValidation>
  </dataValidations>
  <hyperlinks>
    <hyperlink ref="AC1" r:id="rId1" xr:uid="{00000000-0004-0000-0000-000000000000}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6"/>
  <sheetViews>
    <sheetView workbookViewId="0">
      <selection activeCell="B33" sqref="B33"/>
    </sheetView>
  </sheetViews>
  <sheetFormatPr defaultRowHeight="17.25" x14ac:dyDescent="0.3"/>
  <cols>
    <col min="1" max="1" width="19.375" style="4" bestFit="1" customWidth="1"/>
    <col min="2" max="2" width="17.125" style="3" bestFit="1" customWidth="1"/>
    <col min="3" max="3" width="15.875" style="3" bestFit="1" customWidth="1"/>
    <col min="4" max="16384" width="9" style="3"/>
  </cols>
  <sheetData>
    <row r="1" spans="1:3" x14ac:dyDescent="0.3">
      <c r="A1" s="1" t="s">
        <v>390</v>
      </c>
      <c r="B1" s="2" t="s">
        <v>391</v>
      </c>
      <c r="C1" s="2" t="s">
        <v>392</v>
      </c>
    </row>
    <row r="2" spans="1:3" x14ac:dyDescent="0.3">
      <c r="A2" s="46" t="s">
        <v>375</v>
      </c>
      <c r="B2" s="46"/>
      <c r="C2" s="3">
        <f t="shared" ref="C2:C65" si="0">COUNTIF(A:A,B2)</f>
        <v>0</v>
      </c>
    </row>
    <row r="3" spans="1:3" x14ac:dyDescent="0.3">
      <c r="A3" s="46" t="s">
        <v>361</v>
      </c>
      <c r="B3" s="46" t="s">
        <v>361</v>
      </c>
      <c r="C3" s="3">
        <f t="shared" si="0"/>
        <v>2</v>
      </c>
    </row>
    <row r="4" spans="1:3" x14ac:dyDescent="0.3">
      <c r="A4" s="46" t="s">
        <v>352</v>
      </c>
      <c r="B4" s="46" t="s">
        <v>352</v>
      </c>
      <c r="C4" s="3">
        <f t="shared" si="0"/>
        <v>2</v>
      </c>
    </row>
    <row r="5" spans="1:3" x14ac:dyDescent="0.3">
      <c r="A5" s="46" t="s">
        <v>357</v>
      </c>
      <c r="B5" s="46" t="s">
        <v>357</v>
      </c>
      <c r="C5" s="3">
        <f t="shared" si="0"/>
        <v>3</v>
      </c>
    </row>
    <row r="6" spans="1:3" x14ac:dyDescent="0.3">
      <c r="A6" s="46" t="s">
        <v>375</v>
      </c>
      <c r="B6" s="46" t="s">
        <v>375</v>
      </c>
      <c r="C6" s="3">
        <f t="shared" si="0"/>
        <v>2</v>
      </c>
    </row>
    <row r="7" spans="1:3" x14ac:dyDescent="0.3">
      <c r="A7" s="46" t="s">
        <v>379</v>
      </c>
      <c r="B7" s="46" t="s">
        <v>379</v>
      </c>
      <c r="C7" s="3">
        <f t="shared" si="0"/>
        <v>1</v>
      </c>
    </row>
    <row r="8" spans="1:3" x14ac:dyDescent="0.3">
      <c r="A8" s="46" t="s">
        <v>369</v>
      </c>
      <c r="B8" s="46" t="s">
        <v>369</v>
      </c>
      <c r="C8" s="3">
        <f t="shared" si="0"/>
        <v>2</v>
      </c>
    </row>
    <row r="9" spans="1:3" x14ac:dyDescent="0.3">
      <c r="A9" s="46" t="s">
        <v>183</v>
      </c>
      <c r="B9" s="46" t="s">
        <v>183</v>
      </c>
      <c r="C9" s="3">
        <f t="shared" si="0"/>
        <v>2</v>
      </c>
    </row>
    <row r="10" spans="1:3" x14ac:dyDescent="0.3">
      <c r="A10" s="46" t="s">
        <v>157</v>
      </c>
      <c r="B10" s="46" t="s">
        <v>157</v>
      </c>
      <c r="C10" s="3">
        <f t="shared" si="0"/>
        <v>2</v>
      </c>
    </row>
    <row r="11" spans="1:3" x14ac:dyDescent="0.3">
      <c r="A11" s="46" t="s">
        <v>376</v>
      </c>
      <c r="B11" s="46" t="s">
        <v>376</v>
      </c>
      <c r="C11" s="3">
        <f t="shared" si="0"/>
        <v>2</v>
      </c>
    </row>
    <row r="12" spans="1:3" x14ac:dyDescent="0.3">
      <c r="A12" s="46" t="s">
        <v>417</v>
      </c>
      <c r="B12" s="46" t="s">
        <v>417</v>
      </c>
      <c r="C12" s="3">
        <f t="shared" si="0"/>
        <v>2</v>
      </c>
    </row>
    <row r="13" spans="1:3" x14ac:dyDescent="0.3">
      <c r="A13" s="46" t="s">
        <v>417</v>
      </c>
      <c r="B13" s="46" t="s">
        <v>364</v>
      </c>
      <c r="C13" s="3">
        <f t="shared" si="0"/>
        <v>1</v>
      </c>
    </row>
    <row r="14" spans="1:3" x14ac:dyDescent="0.3">
      <c r="A14" s="46" t="s">
        <v>364</v>
      </c>
      <c r="B14" s="46" t="s">
        <v>419</v>
      </c>
      <c r="C14" s="3">
        <f t="shared" si="0"/>
        <v>1</v>
      </c>
    </row>
    <row r="15" spans="1:3" x14ac:dyDescent="0.3">
      <c r="A15" s="46" t="s">
        <v>419</v>
      </c>
      <c r="B15" s="46" t="s">
        <v>373</v>
      </c>
      <c r="C15" s="3">
        <f t="shared" si="0"/>
        <v>2</v>
      </c>
    </row>
    <row r="16" spans="1:3" x14ac:dyDescent="0.3">
      <c r="A16" s="46" t="s">
        <v>373</v>
      </c>
      <c r="B16" s="46" t="s">
        <v>374</v>
      </c>
      <c r="C16" s="3">
        <f t="shared" si="0"/>
        <v>2</v>
      </c>
    </row>
    <row r="17" spans="1:3" x14ac:dyDescent="0.3">
      <c r="A17" s="46" t="s">
        <v>374</v>
      </c>
      <c r="B17" s="46" t="s">
        <v>440</v>
      </c>
      <c r="C17" s="3">
        <f t="shared" si="0"/>
        <v>1</v>
      </c>
    </row>
    <row r="18" spans="1:3" x14ac:dyDescent="0.3">
      <c r="A18" s="46" t="s">
        <v>369</v>
      </c>
      <c r="B18" s="46" t="s">
        <v>442</v>
      </c>
      <c r="C18" s="3">
        <f t="shared" si="0"/>
        <v>2</v>
      </c>
    </row>
    <row r="19" spans="1:3" x14ac:dyDescent="0.3">
      <c r="A19" s="46" t="s">
        <v>440</v>
      </c>
      <c r="B19" s="46">
        <v>8809848769481</v>
      </c>
      <c r="C19" s="3">
        <f t="shared" si="0"/>
        <v>2</v>
      </c>
    </row>
    <row r="20" spans="1:3" x14ac:dyDescent="0.3">
      <c r="A20" s="46" t="s">
        <v>442</v>
      </c>
      <c r="B20" s="46">
        <v>8809848769610</v>
      </c>
      <c r="C20" s="3">
        <f t="shared" si="0"/>
        <v>2</v>
      </c>
    </row>
    <row r="21" spans="1:3" x14ac:dyDescent="0.3">
      <c r="A21" s="46" t="s">
        <v>442</v>
      </c>
      <c r="B21" s="46" t="s">
        <v>353</v>
      </c>
      <c r="C21" s="3">
        <f t="shared" si="0"/>
        <v>2</v>
      </c>
    </row>
    <row r="22" spans="1:3" x14ac:dyDescent="0.3">
      <c r="A22" s="46">
        <v>8809848769481</v>
      </c>
      <c r="B22" s="46" t="s">
        <v>406</v>
      </c>
      <c r="C22" s="3">
        <f t="shared" si="0"/>
        <v>2</v>
      </c>
    </row>
    <row r="23" spans="1:3" x14ac:dyDescent="0.3">
      <c r="A23" s="46">
        <v>8809848769481</v>
      </c>
      <c r="B23" s="46" t="s">
        <v>347</v>
      </c>
      <c r="C23" s="3">
        <f t="shared" si="0"/>
        <v>1</v>
      </c>
    </row>
    <row r="24" spans="1:3" x14ac:dyDescent="0.3">
      <c r="A24" s="46">
        <v>8809848769610</v>
      </c>
      <c r="B24" s="46" t="s">
        <v>378</v>
      </c>
      <c r="C24" s="3">
        <f t="shared" si="0"/>
        <v>1</v>
      </c>
    </row>
    <row r="25" spans="1:3" x14ac:dyDescent="0.3">
      <c r="A25" s="46" t="s">
        <v>353</v>
      </c>
      <c r="B25" s="46" t="s">
        <v>142</v>
      </c>
      <c r="C25" s="3">
        <f t="shared" si="0"/>
        <v>1</v>
      </c>
    </row>
    <row r="26" spans="1:3" x14ac:dyDescent="0.3">
      <c r="A26" s="46" t="s">
        <v>406</v>
      </c>
      <c r="B26" s="46" t="s">
        <v>351</v>
      </c>
      <c r="C26" s="3">
        <f t="shared" si="0"/>
        <v>2</v>
      </c>
    </row>
    <row r="27" spans="1:3" x14ac:dyDescent="0.3">
      <c r="A27" s="46" t="s">
        <v>347</v>
      </c>
      <c r="B27" s="46" t="s">
        <v>409</v>
      </c>
      <c r="C27" s="3">
        <f t="shared" si="0"/>
        <v>2</v>
      </c>
    </row>
    <row r="28" spans="1:3" x14ac:dyDescent="0.3">
      <c r="A28" s="46" t="s">
        <v>378</v>
      </c>
      <c r="B28" s="46" t="s">
        <v>167</v>
      </c>
      <c r="C28" s="3">
        <f t="shared" si="0"/>
        <v>1</v>
      </c>
    </row>
    <row r="29" spans="1:3" x14ac:dyDescent="0.3">
      <c r="A29" s="46" t="s">
        <v>142</v>
      </c>
      <c r="B29" s="46">
        <v>8800242294845</v>
      </c>
      <c r="C29" s="3">
        <f t="shared" si="0"/>
        <v>1</v>
      </c>
    </row>
    <row r="30" spans="1:3" x14ac:dyDescent="0.3">
      <c r="A30" s="46" t="s">
        <v>351</v>
      </c>
      <c r="B30" s="46">
        <v>8809848769641</v>
      </c>
      <c r="C30" s="3">
        <f t="shared" si="0"/>
        <v>2</v>
      </c>
    </row>
    <row r="31" spans="1:3" x14ac:dyDescent="0.3">
      <c r="A31" s="46" t="s">
        <v>357</v>
      </c>
      <c r="B31" s="46">
        <v>8800242294838</v>
      </c>
      <c r="C31" s="3">
        <f t="shared" si="0"/>
        <v>2</v>
      </c>
    </row>
    <row r="32" spans="1:3" x14ac:dyDescent="0.3">
      <c r="A32" s="46" t="s">
        <v>409</v>
      </c>
      <c r="B32" s="46" t="s">
        <v>350</v>
      </c>
      <c r="C32" s="3">
        <f t="shared" si="0"/>
        <v>2</v>
      </c>
    </row>
    <row r="33" spans="1:3" x14ac:dyDescent="0.3">
      <c r="A33" s="46" t="s">
        <v>409</v>
      </c>
      <c r="B33" s="46" t="s">
        <v>144</v>
      </c>
      <c r="C33" s="3">
        <f t="shared" si="0"/>
        <v>1</v>
      </c>
    </row>
    <row r="34" spans="1:3" x14ac:dyDescent="0.3">
      <c r="A34" s="46" t="s">
        <v>167</v>
      </c>
      <c r="B34" s="46" t="s">
        <v>137</v>
      </c>
      <c r="C34" s="3">
        <f t="shared" si="0"/>
        <v>1</v>
      </c>
    </row>
    <row r="35" spans="1:3" x14ac:dyDescent="0.3">
      <c r="A35" s="46">
        <v>8800242294845</v>
      </c>
      <c r="B35" s="46" t="s">
        <v>149</v>
      </c>
      <c r="C35" s="3">
        <f t="shared" si="0"/>
        <v>1</v>
      </c>
    </row>
    <row r="36" spans="1:3" x14ac:dyDescent="0.3">
      <c r="A36" s="46">
        <v>8809848769610</v>
      </c>
      <c r="B36" s="46" t="s">
        <v>362</v>
      </c>
      <c r="C36" s="3">
        <f t="shared" si="0"/>
        <v>1</v>
      </c>
    </row>
    <row r="37" spans="1:3" x14ac:dyDescent="0.3">
      <c r="A37" s="46">
        <v>8809848769641</v>
      </c>
      <c r="B37" s="46" t="s">
        <v>370</v>
      </c>
      <c r="C37" s="3">
        <f t="shared" si="0"/>
        <v>2</v>
      </c>
    </row>
    <row r="38" spans="1:3" x14ac:dyDescent="0.3">
      <c r="A38" s="46">
        <v>8800242294838</v>
      </c>
      <c r="B38" s="46" t="s">
        <v>358</v>
      </c>
      <c r="C38" s="3">
        <f t="shared" si="0"/>
        <v>2</v>
      </c>
    </row>
    <row r="39" spans="1:3" x14ac:dyDescent="0.3">
      <c r="A39" s="46">
        <v>8800242294838</v>
      </c>
      <c r="B39" s="46" t="s">
        <v>189</v>
      </c>
      <c r="C39" s="3">
        <f t="shared" si="0"/>
        <v>2</v>
      </c>
    </row>
    <row r="40" spans="1:3" x14ac:dyDescent="0.3">
      <c r="A40" s="46" t="s">
        <v>350</v>
      </c>
      <c r="B40" s="46" t="s">
        <v>191</v>
      </c>
      <c r="C40" s="3">
        <f t="shared" si="0"/>
        <v>1</v>
      </c>
    </row>
    <row r="41" spans="1:3" x14ac:dyDescent="0.3">
      <c r="A41" s="46" t="s">
        <v>144</v>
      </c>
      <c r="B41" s="46" t="s">
        <v>366</v>
      </c>
      <c r="C41" s="3">
        <f t="shared" si="0"/>
        <v>2</v>
      </c>
    </row>
    <row r="42" spans="1:3" x14ac:dyDescent="0.3">
      <c r="A42" s="46" t="s">
        <v>137</v>
      </c>
      <c r="B42" s="46" t="s">
        <v>365</v>
      </c>
      <c r="C42" s="3">
        <f t="shared" si="0"/>
        <v>1</v>
      </c>
    </row>
    <row r="43" spans="1:3" x14ac:dyDescent="0.3">
      <c r="A43" s="46" t="s">
        <v>149</v>
      </c>
      <c r="B43" s="46" t="s">
        <v>356</v>
      </c>
      <c r="C43" s="3">
        <f t="shared" si="0"/>
        <v>2</v>
      </c>
    </row>
    <row r="44" spans="1:3" x14ac:dyDescent="0.3">
      <c r="A44" s="46" t="s">
        <v>362</v>
      </c>
      <c r="B44" s="46" t="s">
        <v>381</v>
      </c>
      <c r="C44" s="3">
        <f t="shared" si="0"/>
        <v>1</v>
      </c>
    </row>
    <row r="45" spans="1:3" x14ac:dyDescent="0.3">
      <c r="A45" s="46" t="s">
        <v>370</v>
      </c>
      <c r="B45" s="46" t="s">
        <v>380</v>
      </c>
      <c r="C45" s="3">
        <f t="shared" si="0"/>
        <v>2</v>
      </c>
    </row>
    <row r="46" spans="1:3" x14ac:dyDescent="0.3">
      <c r="A46" s="46" t="s">
        <v>358</v>
      </c>
      <c r="B46" s="46" t="s">
        <v>389</v>
      </c>
      <c r="C46" s="3">
        <f t="shared" si="0"/>
        <v>2</v>
      </c>
    </row>
    <row r="47" spans="1:3" x14ac:dyDescent="0.3">
      <c r="A47" s="46" t="s">
        <v>358</v>
      </c>
      <c r="B47" s="46" t="s">
        <v>388</v>
      </c>
      <c r="C47" s="3">
        <f t="shared" si="0"/>
        <v>2</v>
      </c>
    </row>
    <row r="48" spans="1:3" x14ac:dyDescent="0.3">
      <c r="A48" s="46" t="s">
        <v>189</v>
      </c>
      <c r="B48" s="46" t="s">
        <v>384</v>
      </c>
      <c r="C48" s="3">
        <f t="shared" si="0"/>
        <v>3</v>
      </c>
    </row>
    <row r="49" spans="1:3" x14ac:dyDescent="0.3">
      <c r="A49" s="46" t="s">
        <v>191</v>
      </c>
      <c r="B49" s="46">
        <v>8809816389192</v>
      </c>
      <c r="C49" s="3">
        <f t="shared" si="0"/>
        <v>2</v>
      </c>
    </row>
    <row r="50" spans="1:3" x14ac:dyDescent="0.3">
      <c r="A50" s="46" t="s">
        <v>366</v>
      </c>
      <c r="B50" s="46" t="s">
        <v>430</v>
      </c>
      <c r="C50" s="3">
        <f t="shared" si="0"/>
        <v>1</v>
      </c>
    </row>
    <row r="51" spans="1:3" x14ac:dyDescent="0.3">
      <c r="A51" s="46" t="s">
        <v>366</v>
      </c>
      <c r="B51" s="46" t="s">
        <v>377</v>
      </c>
      <c r="C51" s="3">
        <f t="shared" si="0"/>
        <v>2</v>
      </c>
    </row>
    <row r="52" spans="1:3" x14ac:dyDescent="0.3">
      <c r="A52" s="46" t="s">
        <v>365</v>
      </c>
      <c r="B52" s="46" t="s">
        <v>346</v>
      </c>
      <c r="C52" s="3">
        <f t="shared" si="0"/>
        <v>3</v>
      </c>
    </row>
    <row r="53" spans="1:3" x14ac:dyDescent="0.3">
      <c r="A53" s="46" t="s">
        <v>189</v>
      </c>
      <c r="B53" s="46">
        <v>8809792688395</v>
      </c>
      <c r="C53" s="3">
        <f t="shared" si="0"/>
        <v>2</v>
      </c>
    </row>
    <row r="54" spans="1:3" x14ac:dyDescent="0.3">
      <c r="A54" s="46" t="s">
        <v>356</v>
      </c>
      <c r="B54" s="46" t="s">
        <v>425</v>
      </c>
      <c r="C54" s="3">
        <f t="shared" si="0"/>
        <v>1</v>
      </c>
    </row>
    <row r="55" spans="1:3" x14ac:dyDescent="0.3">
      <c r="A55" s="46" t="s">
        <v>356</v>
      </c>
      <c r="B55" s="46" t="s">
        <v>360</v>
      </c>
      <c r="C55" s="3">
        <f t="shared" si="0"/>
        <v>1</v>
      </c>
    </row>
    <row r="56" spans="1:3" x14ac:dyDescent="0.3">
      <c r="A56" s="46" t="s">
        <v>381</v>
      </c>
      <c r="B56" s="46" t="s">
        <v>118</v>
      </c>
      <c r="C56" s="3">
        <f t="shared" si="0"/>
        <v>2</v>
      </c>
    </row>
    <row r="57" spans="1:3" x14ac:dyDescent="0.3">
      <c r="A57" s="46" t="s">
        <v>380</v>
      </c>
      <c r="B57" s="46" t="s">
        <v>387</v>
      </c>
      <c r="C57" s="3">
        <f t="shared" si="0"/>
        <v>3</v>
      </c>
    </row>
    <row r="58" spans="1:3" x14ac:dyDescent="0.3">
      <c r="A58" s="46" t="s">
        <v>389</v>
      </c>
      <c r="B58" s="46" t="s">
        <v>349</v>
      </c>
      <c r="C58" s="3">
        <f t="shared" si="0"/>
        <v>2</v>
      </c>
    </row>
    <row r="59" spans="1:3" x14ac:dyDescent="0.3">
      <c r="A59" s="46" t="s">
        <v>389</v>
      </c>
      <c r="B59" s="46" t="s">
        <v>386</v>
      </c>
      <c r="C59" s="3">
        <f t="shared" si="0"/>
        <v>3</v>
      </c>
    </row>
    <row r="60" spans="1:3" x14ac:dyDescent="0.3">
      <c r="A60" s="46" t="s">
        <v>388</v>
      </c>
      <c r="B60" s="46" t="s">
        <v>385</v>
      </c>
      <c r="C60" s="3">
        <f t="shared" si="0"/>
        <v>3</v>
      </c>
    </row>
    <row r="61" spans="1:3" x14ac:dyDescent="0.3">
      <c r="A61" s="46" t="s">
        <v>388</v>
      </c>
      <c r="B61" s="46">
        <v>8809848769108</v>
      </c>
      <c r="C61" s="3">
        <f t="shared" si="0"/>
        <v>1</v>
      </c>
    </row>
    <row r="62" spans="1:3" x14ac:dyDescent="0.3">
      <c r="A62" s="46" t="s">
        <v>384</v>
      </c>
      <c r="B62" s="46" t="s">
        <v>348</v>
      </c>
      <c r="C62" s="3">
        <f t="shared" si="0"/>
        <v>2</v>
      </c>
    </row>
    <row r="63" spans="1:3" x14ac:dyDescent="0.3">
      <c r="A63" s="46">
        <v>8809816389192</v>
      </c>
      <c r="B63" s="46">
        <v>8809816389277</v>
      </c>
      <c r="C63" s="3">
        <f t="shared" si="0"/>
        <v>2</v>
      </c>
    </row>
    <row r="64" spans="1:3" x14ac:dyDescent="0.3">
      <c r="A64" s="46">
        <v>8809816389192</v>
      </c>
      <c r="B64" s="46" t="s">
        <v>354</v>
      </c>
      <c r="C64" s="3">
        <f t="shared" si="0"/>
        <v>2</v>
      </c>
    </row>
    <row r="65" spans="1:3" x14ac:dyDescent="0.3">
      <c r="A65" s="46" t="s">
        <v>430</v>
      </c>
      <c r="B65" s="46" t="s">
        <v>165</v>
      </c>
      <c r="C65" s="3">
        <f t="shared" si="0"/>
        <v>2</v>
      </c>
    </row>
    <row r="66" spans="1:3" x14ac:dyDescent="0.3">
      <c r="A66" s="46" t="s">
        <v>377</v>
      </c>
      <c r="B66" s="46" t="s">
        <v>355</v>
      </c>
      <c r="C66" s="3">
        <f t="shared" ref="C66:C129" si="1">COUNTIF(A:A,B66)</f>
        <v>2</v>
      </c>
    </row>
    <row r="67" spans="1:3" x14ac:dyDescent="0.3">
      <c r="A67" s="46" t="s">
        <v>377</v>
      </c>
      <c r="B67" s="46" t="s">
        <v>359</v>
      </c>
      <c r="C67" s="3">
        <f t="shared" si="1"/>
        <v>1</v>
      </c>
    </row>
    <row r="68" spans="1:3" x14ac:dyDescent="0.3">
      <c r="A68" s="46" t="s">
        <v>380</v>
      </c>
      <c r="B68" s="46">
        <v>8809816389246</v>
      </c>
      <c r="C68" s="3">
        <f t="shared" si="1"/>
        <v>2</v>
      </c>
    </row>
    <row r="69" spans="1:3" x14ac:dyDescent="0.3">
      <c r="A69" s="46" t="s">
        <v>346</v>
      </c>
      <c r="B69" s="46">
        <v>8809816389055</v>
      </c>
      <c r="C69" s="3">
        <f t="shared" si="1"/>
        <v>2</v>
      </c>
    </row>
    <row r="70" spans="1:3" x14ac:dyDescent="0.3">
      <c r="A70" s="46" t="s">
        <v>346</v>
      </c>
      <c r="B70" s="46">
        <v>8809816389093</v>
      </c>
      <c r="C70" s="3">
        <f t="shared" si="1"/>
        <v>1</v>
      </c>
    </row>
    <row r="71" spans="1:3" x14ac:dyDescent="0.3">
      <c r="A71" s="46">
        <v>8809792688395</v>
      </c>
      <c r="B71" s="46" t="s">
        <v>368</v>
      </c>
      <c r="C71" s="3">
        <f t="shared" si="1"/>
        <v>1</v>
      </c>
    </row>
    <row r="72" spans="1:3" x14ac:dyDescent="0.3">
      <c r="A72" s="46">
        <v>8809792688395</v>
      </c>
      <c r="B72" s="46">
        <v>8809792688357</v>
      </c>
      <c r="C72" s="3">
        <f t="shared" si="1"/>
        <v>1</v>
      </c>
    </row>
    <row r="73" spans="1:3" x14ac:dyDescent="0.3">
      <c r="A73" s="46" t="s">
        <v>346</v>
      </c>
      <c r="B73" s="46" t="s">
        <v>363</v>
      </c>
      <c r="C73" s="3">
        <f t="shared" si="1"/>
        <v>1</v>
      </c>
    </row>
    <row r="74" spans="1:3" x14ac:dyDescent="0.3">
      <c r="A74" s="46" t="s">
        <v>157</v>
      </c>
      <c r="B74" s="46" t="s">
        <v>434</v>
      </c>
      <c r="C74" s="3">
        <f t="shared" si="1"/>
        <v>1</v>
      </c>
    </row>
    <row r="75" spans="1:3" x14ac:dyDescent="0.3">
      <c r="A75" s="46" t="s">
        <v>425</v>
      </c>
      <c r="B75" s="46" t="s">
        <v>432</v>
      </c>
      <c r="C75" s="3">
        <f t="shared" si="1"/>
        <v>1</v>
      </c>
    </row>
    <row r="76" spans="1:3" x14ac:dyDescent="0.3">
      <c r="A76" s="46" t="s">
        <v>352</v>
      </c>
      <c r="B76" s="46" t="s">
        <v>151</v>
      </c>
      <c r="C76" s="3">
        <f t="shared" si="1"/>
        <v>1</v>
      </c>
    </row>
    <row r="77" spans="1:3" x14ac:dyDescent="0.3">
      <c r="A77" s="46" t="s">
        <v>360</v>
      </c>
      <c r="B77" s="46" t="s">
        <v>372</v>
      </c>
      <c r="C77" s="3">
        <f t="shared" si="1"/>
        <v>2</v>
      </c>
    </row>
    <row r="78" spans="1:3" x14ac:dyDescent="0.3">
      <c r="A78" s="46" t="s">
        <v>118</v>
      </c>
      <c r="B78" s="46" t="s">
        <v>371</v>
      </c>
      <c r="C78" s="3">
        <f t="shared" si="1"/>
        <v>2</v>
      </c>
    </row>
    <row r="79" spans="1:3" x14ac:dyDescent="0.3">
      <c r="A79" s="46" t="s">
        <v>387</v>
      </c>
      <c r="B79" s="46" t="s">
        <v>410</v>
      </c>
      <c r="C79" s="3">
        <f t="shared" si="1"/>
        <v>1</v>
      </c>
    </row>
    <row r="80" spans="1:3" x14ac:dyDescent="0.3">
      <c r="A80" s="46" t="s">
        <v>387</v>
      </c>
      <c r="B80" s="46" t="s">
        <v>178</v>
      </c>
      <c r="C80" s="3">
        <f t="shared" si="1"/>
        <v>2</v>
      </c>
    </row>
    <row r="81" spans="1:3" x14ac:dyDescent="0.3">
      <c r="A81" s="46" t="s">
        <v>387</v>
      </c>
      <c r="B81" s="46" t="s">
        <v>176</v>
      </c>
      <c r="C81" s="3">
        <f t="shared" si="1"/>
        <v>2</v>
      </c>
    </row>
    <row r="82" spans="1:3" x14ac:dyDescent="0.3">
      <c r="A82" s="46" t="s">
        <v>349</v>
      </c>
      <c r="B82" s="46" t="s">
        <v>172</v>
      </c>
      <c r="C82" s="3">
        <f t="shared" si="1"/>
        <v>2</v>
      </c>
    </row>
    <row r="83" spans="1:3" x14ac:dyDescent="0.3">
      <c r="A83" s="46" t="s">
        <v>386</v>
      </c>
      <c r="B83" s="46" t="s">
        <v>174</v>
      </c>
      <c r="C83" s="3">
        <f t="shared" si="1"/>
        <v>2</v>
      </c>
    </row>
    <row r="84" spans="1:3" x14ac:dyDescent="0.3">
      <c r="A84" s="46" t="s">
        <v>386</v>
      </c>
      <c r="B84" s="46" t="s">
        <v>163</v>
      </c>
      <c r="C84" s="3">
        <f t="shared" si="1"/>
        <v>2</v>
      </c>
    </row>
    <row r="85" spans="1:3" x14ac:dyDescent="0.3">
      <c r="A85" s="46" t="s">
        <v>386</v>
      </c>
      <c r="B85" s="46">
        <v>8809848769474</v>
      </c>
      <c r="C85" s="3">
        <f t="shared" si="1"/>
        <v>2</v>
      </c>
    </row>
    <row r="86" spans="1:3" x14ac:dyDescent="0.3">
      <c r="A86" s="46" t="s">
        <v>385</v>
      </c>
      <c r="B86" s="46">
        <v>8809848769580</v>
      </c>
      <c r="C86" s="3">
        <f t="shared" si="1"/>
        <v>1</v>
      </c>
    </row>
    <row r="87" spans="1:3" x14ac:dyDescent="0.3">
      <c r="A87" s="46" t="s">
        <v>385</v>
      </c>
      <c r="B87" s="46">
        <v>8809848769450</v>
      </c>
      <c r="C87" s="3">
        <f t="shared" si="1"/>
        <v>2</v>
      </c>
    </row>
    <row r="88" spans="1:3" x14ac:dyDescent="0.3">
      <c r="A88" s="46" t="s">
        <v>385</v>
      </c>
      <c r="B88" s="46">
        <v>8809848769566</v>
      </c>
      <c r="C88" s="3">
        <f t="shared" si="1"/>
        <v>1</v>
      </c>
    </row>
    <row r="89" spans="1:3" x14ac:dyDescent="0.3">
      <c r="A89" s="46">
        <v>8809848769108</v>
      </c>
      <c r="B89" s="46">
        <v>8809848769467</v>
      </c>
      <c r="C89" s="3">
        <f t="shared" si="1"/>
        <v>3</v>
      </c>
    </row>
    <row r="90" spans="1:3" x14ac:dyDescent="0.3">
      <c r="A90" s="46" t="s">
        <v>348</v>
      </c>
      <c r="B90" s="46" t="s">
        <v>383</v>
      </c>
      <c r="C90" s="3">
        <f t="shared" si="1"/>
        <v>2</v>
      </c>
    </row>
    <row r="91" spans="1:3" x14ac:dyDescent="0.3">
      <c r="A91" s="46" t="s">
        <v>384</v>
      </c>
      <c r="B91" s="46" t="s">
        <v>382</v>
      </c>
      <c r="C91" s="3">
        <f t="shared" si="1"/>
        <v>1</v>
      </c>
    </row>
    <row r="92" spans="1:3" x14ac:dyDescent="0.3">
      <c r="A92" s="46" t="s">
        <v>348</v>
      </c>
      <c r="B92" s="46">
        <v>8800242294807</v>
      </c>
      <c r="C92" s="3">
        <f t="shared" si="1"/>
        <v>2</v>
      </c>
    </row>
    <row r="93" spans="1:3" x14ac:dyDescent="0.3">
      <c r="A93" s="46" t="s">
        <v>349</v>
      </c>
      <c r="B93" s="46">
        <v>8800242294890</v>
      </c>
      <c r="C93" s="3">
        <f t="shared" si="1"/>
        <v>2</v>
      </c>
    </row>
    <row r="94" spans="1:3" x14ac:dyDescent="0.3">
      <c r="A94" s="46" t="s">
        <v>384</v>
      </c>
      <c r="B94" s="46">
        <v>8800242294906</v>
      </c>
      <c r="C94" s="3">
        <f t="shared" si="1"/>
        <v>2</v>
      </c>
    </row>
    <row r="95" spans="1:3" x14ac:dyDescent="0.3">
      <c r="A95" s="46">
        <v>8809816389277</v>
      </c>
      <c r="B95" s="46">
        <v>8809848769627</v>
      </c>
      <c r="C95" s="3">
        <f t="shared" si="1"/>
        <v>2</v>
      </c>
    </row>
    <row r="96" spans="1:3" x14ac:dyDescent="0.3">
      <c r="A96" s="46" t="s">
        <v>354</v>
      </c>
      <c r="B96" s="46" t="s">
        <v>397</v>
      </c>
      <c r="C96" s="3">
        <f t="shared" si="1"/>
        <v>1</v>
      </c>
    </row>
    <row r="97" spans="1:3" x14ac:dyDescent="0.3">
      <c r="A97" s="46" t="s">
        <v>354</v>
      </c>
      <c r="B97" s="46">
        <v>8809848769634</v>
      </c>
      <c r="C97" s="3">
        <f t="shared" si="1"/>
        <v>2</v>
      </c>
    </row>
    <row r="98" spans="1:3" x14ac:dyDescent="0.3">
      <c r="A98" s="46" t="s">
        <v>165</v>
      </c>
      <c r="B98" s="46" t="s">
        <v>367</v>
      </c>
      <c r="C98" s="3">
        <f t="shared" si="1"/>
        <v>2</v>
      </c>
    </row>
    <row r="99" spans="1:3" x14ac:dyDescent="0.3">
      <c r="A99" s="46" t="s">
        <v>355</v>
      </c>
      <c r="B99" s="46" t="s">
        <v>134</v>
      </c>
      <c r="C99" s="3">
        <f t="shared" si="1"/>
        <v>1</v>
      </c>
    </row>
    <row r="100" spans="1:3" x14ac:dyDescent="0.3">
      <c r="A100" s="46" t="s">
        <v>355</v>
      </c>
      <c r="B100" s="46" t="s">
        <v>126</v>
      </c>
      <c r="C100" s="3">
        <f t="shared" si="1"/>
        <v>1</v>
      </c>
    </row>
    <row r="101" spans="1:3" x14ac:dyDescent="0.3">
      <c r="A101" s="46" t="s">
        <v>359</v>
      </c>
      <c r="B101" s="4"/>
      <c r="C101" s="3">
        <f t="shared" si="1"/>
        <v>0</v>
      </c>
    </row>
    <row r="102" spans="1:3" x14ac:dyDescent="0.3">
      <c r="A102" s="46">
        <v>8809816389246</v>
      </c>
      <c r="C102" s="3">
        <f t="shared" si="1"/>
        <v>0</v>
      </c>
    </row>
    <row r="103" spans="1:3" x14ac:dyDescent="0.3">
      <c r="A103" s="46">
        <v>8809816389055</v>
      </c>
      <c r="C103" s="3">
        <f t="shared" si="1"/>
        <v>0</v>
      </c>
    </row>
    <row r="104" spans="1:3" x14ac:dyDescent="0.3">
      <c r="A104" s="46">
        <v>8809816389055</v>
      </c>
      <c r="C104" s="3">
        <f t="shared" si="1"/>
        <v>0</v>
      </c>
    </row>
    <row r="105" spans="1:3" x14ac:dyDescent="0.3">
      <c r="A105" s="46">
        <v>8809816389093</v>
      </c>
      <c r="C105" s="3">
        <f t="shared" si="1"/>
        <v>0</v>
      </c>
    </row>
    <row r="106" spans="1:3" x14ac:dyDescent="0.3">
      <c r="A106" s="46">
        <v>8809816389246</v>
      </c>
      <c r="C106" s="3">
        <f t="shared" si="1"/>
        <v>0</v>
      </c>
    </row>
    <row r="107" spans="1:3" x14ac:dyDescent="0.3">
      <c r="A107" s="46" t="s">
        <v>183</v>
      </c>
      <c r="C107" s="3">
        <f t="shared" si="1"/>
        <v>0</v>
      </c>
    </row>
    <row r="108" spans="1:3" x14ac:dyDescent="0.3">
      <c r="A108" s="46" t="s">
        <v>370</v>
      </c>
      <c r="C108" s="3">
        <f t="shared" si="1"/>
        <v>0</v>
      </c>
    </row>
    <row r="109" spans="1:3" x14ac:dyDescent="0.3">
      <c r="A109" s="46" t="s">
        <v>368</v>
      </c>
      <c r="C109" s="3">
        <f t="shared" si="1"/>
        <v>0</v>
      </c>
    </row>
    <row r="110" spans="1:3" x14ac:dyDescent="0.3">
      <c r="A110" s="46">
        <v>8809792688357</v>
      </c>
      <c r="C110" s="3">
        <f t="shared" si="1"/>
        <v>0</v>
      </c>
    </row>
    <row r="111" spans="1:3" x14ac:dyDescent="0.3">
      <c r="A111" s="46" t="s">
        <v>363</v>
      </c>
      <c r="C111" s="3">
        <f t="shared" si="1"/>
        <v>0</v>
      </c>
    </row>
    <row r="112" spans="1:3" x14ac:dyDescent="0.3">
      <c r="A112" s="46" t="s">
        <v>434</v>
      </c>
      <c r="C112" s="3">
        <f t="shared" si="1"/>
        <v>0</v>
      </c>
    </row>
    <row r="113" spans="1:3" x14ac:dyDescent="0.3">
      <c r="A113" s="46" t="s">
        <v>432</v>
      </c>
      <c r="C113" s="3">
        <f t="shared" si="1"/>
        <v>0</v>
      </c>
    </row>
    <row r="114" spans="1:3" x14ac:dyDescent="0.3">
      <c r="A114" s="46" t="s">
        <v>361</v>
      </c>
      <c r="C114" s="3">
        <f t="shared" si="1"/>
        <v>0</v>
      </c>
    </row>
    <row r="115" spans="1:3" x14ac:dyDescent="0.3">
      <c r="A115" s="46" t="s">
        <v>151</v>
      </c>
      <c r="C115" s="3">
        <f t="shared" si="1"/>
        <v>0</v>
      </c>
    </row>
    <row r="116" spans="1:3" x14ac:dyDescent="0.3">
      <c r="A116" s="46" t="s">
        <v>376</v>
      </c>
      <c r="C116" s="3">
        <f t="shared" si="1"/>
        <v>0</v>
      </c>
    </row>
    <row r="117" spans="1:3" x14ac:dyDescent="0.3">
      <c r="A117" s="46" t="s">
        <v>373</v>
      </c>
      <c r="C117" s="3">
        <f t="shared" si="1"/>
        <v>0</v>
      </c>
    </row>
    <row r="118" spans="1:3" x14ac:dyDescent="0.3">
      <c r="A118" s="46" t="s">
        <v>372</v>
      </c>
      <c r="C118" s="3">
        <f t="shared" si="1"/>
        <v>0</v>
      </c>
    </row>
    <row r="119" spans="1:3" x14ac:dyDescent="0.3">
      <c r="A119" s="46" t="s">
        <v>372</v>
      </c>
      <c r="C119" s="3">
        <f t="shared" si="1"/>
        <v>0</v>
      </c>
    </row>
    <row r="120" spans="1:3" x14ac:dyDescent="0.3">
      <c r="A120" s="46" t="s">
        <v>371</v>
      </c>
      <c r="C120" s="3">
        <f t="shared" si="1"/>
        <v>0</v>
      </c>
    </row>
    <row r="121" spans="1:3" x14ac:dyDescent="0.3">
      <c r="A121" s="46" t="s">
        <v>371</v>
      </c>
      <c r="C121" s="3">
        <f t="shared" si="1"/>
        <v>0</v>
      </c>
    </row>
    <row r="122" spans="1:3" x14ac:dyDescent="0.3">
      <c r="A122" s="46" t="s">
        <v>410</v>
      </c>
      <c r="C122" s="3">
        <f t="shared" si="1"/>
        <v>0</v>
      </c>
    </row>
    <row r="123" spans="1:3" x14ac:dyDescent="0.3">
      <c r="A123" s="46" t="s">
        <v>178</v>
      </c>
      <c r="C123" s="3">
        <f t="shared" si="1"/>
        <v>0</v>
      </c>
    </row>
    <row r="124" spans="1:3" x14ac:dyDescent="0.3">
      <c r="A124" s="46" t="s">
        <v>176</v>
      </c>
      <c r="C124" s="3">
        <f t="shared" si="1"/>
        <v>0</v>
      </c>
    </row>
    <row r="125" spans="1:3" x14ac:dyDescent="0.3">
      <c r="A125" s="46" t="s">
        <v>172</v>
      </c>
      <c r="C125" s="3">
        <f t="shared" si="1"/>
        <v>0</v>
      </c>
    </row>
    <row r="126" spans="1:3" x14ac:dyDescent="0.3">
      <c r="A126" s="46" t="s">
        <v>174</v>
      </c>
      <c r="C126" s="3">
        <f t="shared" si="1"/>
        <v>0</v>
      </c>
    </row>
    <row r="127" spans="1:3" x14ac:dyDescent="0.3">
      <c r="A127" s="46" t="s">
        <v>163</v>
      </c>
      <c r="C127" s="3">
        <f t="shared" si="1"/>
        <v>0</v>
      </c>
    </row>
    <row r="128" spans="1:3" x14ac:dyDescent="0.3">
      <c r="A128" s="46">
        <v>8809848769474</v>
      </c>
      <c r="C128" s="3">
        <f t="shared" si="1"/>
        <v>0</v>
      </c>
    </row>
    <row r="129" spans="1:3" x14ac:dyDescent="0.3">
      <c r="A129" s="46">
        <v>8809848769580</v>
      </c>
      <c r="C129" s="3">
        <f t="shared" si="1"/>
        <v>0</v>
      </c>
    </row>
    <row r="130" spans="1:3" x14ac:dyDescent="0.3">
      <c r="A130" s="46">
        <v>8809848769450</v>
      </c>
      <c r="C130" s="3">
        <f t="shared" ref="C130:C193" si="2">COUNTIF(A:A,B130)</f>
        <v>0</v>
      </c>
    </row>
    <row r="131" spans="1:3" x14ac:dyDescent="0.3">
      <c r="A131" s="46">
        <v>8809848769566</v>
      </c>
      <c r="C131" s="3">
        <f t="shared" si="2"/>
        <v>0</v>
      </c>
    </row>
    <row r="132" spans="1:3" x14ac:dyDescent="0.3">
      <c r="A132" s="46">
        <v>8809848769467</v>
      </c>
      <c r="C132" s="3">
        <f t="shared" si="2"/>
        <v>0</v>
      </c>
    </row>
    <row r="133" spans="1:3" x14ac:dyDescent="0.3">
      <c r="A133" s="46">
        <v>8809848769467</v>
      </c>
      <c r="C133" s="3">
        <f t="shared" si="2"/>
        <v>0</v>
      </c>
    </row>
    <row r="134" spans="1:3" x14ac:dyDescent="0.3">
      <c r="A134" s="46" t="s">
        <v>383</v>
      </c>
      <c r="C134" s="3">
        <f t="shared" si="2"/>
        <v>0</v>
      </c>
    </row>
    <row r="135" spans="1:3" x14ac:dyDescent="0.3">
      <c r="A135" s="46" t="s">
        <v>383</v>
      </c>
      <c r="C135" s="3">
        <f t="shared" si="2"/>
        <v>0</v>
      </c>
    </row>
    <row r="136" spans="1:3" x14ac:dyDescent="0.3">
      <c r="A136" s="46" t="s">
        <v>382</v>
      </c>
      <c r="C136" s="3">
        <f t="shared" si="2"/>
        <v>0</v>
      </c>
    </row>
    <row r="137" spans="1:3" x14ac:dyDescent="0.3">
      <c r="A137" s="46">
        <v>8800242294807</v>
      </c>
      <c r="C137" s="3">
        <f t="shared" si="2"/>
        <v>0</v>
      </c>
    </row>
    <row r="138" spans="1:3" x14ac:dyDescent="0.3">
      <c r="A138" s="46" t="s">
        <v>353</v>
      </c>
      <c r="C138" s="3">
        <f t="shared" si="2"/>
        <v>0</v>
      </c>
    </row>
    <row r="139" spans="1:3" x14ac:dyDescent="0.3">
      <c r="A139" s="46">
        <v>8800242294890</v>
      </c>
      <c r="C139" s="3">
        <f t="shared" si="2"/>
        <v>0</v>
      </c>
    </row>
    <row r="140" spans="1:3" x14ac:dyDescent="0.3">
      <c r="A140" s="46">
        <v>8800242294906</v>
      </c>
      <c r="C140" s="3">
        <f t="shared" si="2"/>
        <v>0</v>
      </c>
    </row>
    <row r="141" spans="1:3" x14ac:dyDescent="0.3">
      <c r="A141" s="46">
        <v>8809848769627</v>
      </c>
      <c r="C141" s="3">
        <f t="shared" si="2"/>
        <v>0</v>
      </c>
    </row>
    <row r="142" spans="1:3" x14ac:dyDescent="0.3">
      <c r="A142" s="46" t="s">
        <v>350</v>
      </c>
      <c r="C142" s="3">
        <f t="shared" si="2"/>
        <v>0</v>
      </c>
    </row>
    <row r="143" spans="1:3" x14ac:dyDescent="0.3">
      <c r="A143" s="46" t="s">
        <v>165</v>
      </c>
      <c r="C143" s="3">
        <f t="shared" si="2"/>
        <v>0</v>
      </c>
    </row>
    <row r="144" spans="1:3" x14ac:dyDescent="0.3">
      <c r="A144" s="46">
        <v>8800242294906</v>
      </c>
      <c r="C144" s="3">
        <f t="shared" si="2"/>
        <v>0</v>
      </c>
    </row>
    <row r="145" spans="1:3" x14ac:dyDescent="0.3">
      <c r="A145" s="46">
        <v>8800242294890</v>
      </c>
      <c r="C145" s="3">
        <f t="shared" si="2"/>
        <v>0</v>
      </c>
    </row>
    <row r="146" spans="1:3" x14ac:dyDescent="0.3">
      <c r="A146" s="46">
        <v>8800242294807</v>
      </c>
      <c r="C146" s="3">
        <f t="shared" si="2"/>
        <v>0</v>
      </c>
    </row>
    <row r="147" spans="1:3" x14ac:dyDescent="0.3">
      <c r="A147" s="46">
        <v>8809848769467</v>
      </c>
      <c r="C147" s="3">
        <f t="shared" si="2"/>
        <v>0</v>
      </c>
    </row>
    <row r="148" spans="1:3" x14ac:dyDescent="0.3">
      <c r="A148" s="46">
        <v>8809848769450</v>
      </c>
      <c r="C148" s="3">
        <f t="shared" si="2"/>
        <v>0</v>
      </c>
    </row>
    <row r="149" spans="1:3" x14ac:dyDescent="0.3">
      <c r="A149" s="46">
        <v>8809848769474</v>
      </c>
      <c r="C149" s="3">
        <f t="shared" si="2"/>
        <v>0</v>
      </c>
    </row>
    <row r="150" spans="1:3" x14ac:dyDescent="0.3">
      <c r="A150" s="46" t="s">
        <v>176</v>
      </c>
      <c r="C150" s="3">
        <f t="shared" si="2"/>
        <v>0</v>
      </c>
    </row>
    <row r="151" spans="1:3" x14ac:dyDescent="0.3">
      <c r="A151" s="46" t="s">
        <v>172</v>
      </c>
      <c r="C151" s="3">
        <f t="shared" si="2"/>
        <v>0</v>
      </c>
    </row>
    <row r="152" spans="1:3" x14ac:dyDescent="0.3">
      <c r="A152" s="46" t="s">
        <v>406</v>
      </c>
      <c r="C152" s="3">
        <f t="shared" si="2"/>
        <v>0</v>
      </c>
    </row>
    <row r="153" spans="1:3" x14ac:dyDescent="0.3">
      <c r="A153" s="46" t="s">
        <v>174</v>
      </c>
      <c r="C153" s="3">
        <f t="shared" si="2"/>
        <v>0</v>
      </c>
    </row>
    <row r="154" spans="1:3" x14ac:dyDescent="0.3">
      <c r="A154" s="46" t="s">
        <v>397</v>
      </c>
      <c r="C154" s="3">
        <f t="shared" si="2"/>
        <v>0</v>
      </c>
    </row>
    <row r="155" spans="1:3" x14ac:dyDescent="0.3">
      <c r="A155" s="46">
        <v>8809848769641</v>
      </c>
      <c r="C155" s="3">
        <f t="shared" si="2"/>
        <v>0</v>
      </c>
    </row>
    <row r="156" spans="1:3" x14ac:dyDescent="0.3">
      <c r="A156" s="46">
        <v>8809848769634</v>
      </c>
      <c r="C156" s="3">
        <f t="shared" si="2"/>
        <v>0</v>
      </c>
    </row>
    <row r="157" spans="1:3" x14ac:dyDescent="0.3">
      <c r="A157" s="46">
        <v>8809848769634</v>
      </c>
      <c r="C157" s="3">
        <f t="shared" si="2"/>
        <v>0</v>
      </c>
    </row>
    <row r="158" spans="1:3" x14ac:dyDescent="0.3">
      <c r="A158" s="46">
        <v>8809848769627</v>
      </c>
      <c r="C158" s="3">
        <f t="shared" si="2"/>
        <v>0</v>
      </c>
    </row>
    <row r="159" spans="1:3" x14ac:dyDescent="0.3">
      <c r="A159" s="46" t="s">
        <v>178</v>
      </c>
      <c r="C159" s="3">
        <f t="shared" si="2"/>
        <v>0</v>
      </c>
    </row>
    <row r="160" spans="1:3" x14ac:dyDescent="0.3">
      <c r="A160" s="46" t="s">
        <v>163</v>
      </c>
      <c r="C160" s="3">
        <f t="shared" si="2"/>
        <v>0</v>
      </c>
    </row>
    <row r="161" spans="1:3" x14ac:dyDescent="0.3">
      <c r="A161" s="46" t="s">
        <v>367</v>
      </c>
      <c r="C161" s="3">
        <f t="shared" si="2"/>
        <v>0</v>
      </c>
    </row>
    <row r="162" spans="1:3" x14ac:dyDescent="0.3">
      <c r="A162" s="46" t="s">
        <v>367</v>
      </c>
      <c r="C162" s="3">
        <f t="shared" si="2"/>
        <v>0</v>
      </c>
    </row>
    <row r="163" spans="1:3" x14ac:dyDescent="0.3">
      <c r="A163" s="46" t="s">
        <v>374</v>
      </c>
      <c r="C163" s="3">
        <f t="shared" si="2"/>
        <v>0</v>
      </c>
    </row>
    <row r="164" spans="1:3" x14ac:dyDescent="0.3">
      <c r="A164" s="46" t="s">
        <v>134</v>
      </c>
      <c r="C164" s="3">
        <f t="shared" si="2"/>
        <v>0</v>
      </c>
    </row>
    <row r="165" spans="1:3" x14ac:dyDescent="0.3">
      <c r="A165" s="46">
        <v>8809816389277</v>
      </c>
      <c r="C165" s="3">
        <f t="shared" si="2"/>
        <v>0</v>
      </c>
    </row>
    <row r="166" spans="1:3" x14ac:dyDescent="0.3">
      <c r="A166" s="46" t="s">
        <v>351</v>
      </c>
      <c r="C166" s="3">
        <f t="shared" si="2"/>
        <v>0</v>
      </c>
    </row>
    <row r="167" spans="1:3" x14ac:dyDescent="0.3">
      <c r="A167" s="46" t="s">
        <v>118</v>
      </c>
      <c r="C167" s="3">
        <f t="shared" si="2"/>
        <v>0</v>
      </c>
    </row>
    <row r="168" spans="1:3" x14ac:dyDescent="0.3">
      <c r="A168" s="46" t="s">
        <v>357</v>
      </c>
      <c r="C168" s="3">
        <f t="shared" si="2"/>
        <v>0</v>
      </c>
    </row>
    <row r="169" spans="1:3" x14ac:dyDescent="0.3">
      <c r="A169" s="46" t="s">
        <v>126</v>
      </c>
      <c r="C169" s="3">
        <f t="shared" si="2"/>
        <v>0</v>
      </c>
    </row>
    <row r="170" spans="1:3" x14ac:dyDescent="0.3">
      <c r="C170" s="3">
        <f t="shared" si="2"/>
        <v>0</v>
      </c>
    </row>
    <row r="171" spans="1:3" x14ac:dyDescent="0.3">
      <c r="C171" s="3">
        <f t="shared" si="2"/>
        <v>0</v>
      </c>
    </row>
    <row r="172" spans="1:3" x14ac:dyDescent="0.3">
      <c r="C172" s="3">
        <f t="shared" si="2"/>
        <v>0</v>
      </c>
    </row>
    <row r="173" spans="1:3" x14ac:dyDescent="0.3">
      <c r="C173" s="3">
        <f t="shared" si="2"/>
        <v>0</v>
      </c>
    </row>
    <row r="174" spans="1:3" x14ac:dyDescent="0.3">
      <c r="C174" s="3">
        <f t="shared" si="2"/>
        <v>0</v>
      </c>
    </row>
    <row r="175" spans="1:3" x14ac:dyDescent="0.3">
      <c r="C175" s="3">
        <f t="shared" si="2"/>
        <v>0</v>
      </c>
    </row>
    <row r="176" spans="1:3" x14ac:dyDescent="0.3">
      <c r="C176" s="3">
        <f t="shared" si="2"/>
        <v>0</v>
      </c>
    </row>
    <row r="177" spans="3:3" x14ac:dyDescent="0.3">
      <c r="C177" s="3">
        <f t="shared" si="2"/>
        <v>0</v>
      </c>
    </row>
    <row r="178" spans="3:3" x14ac:dyDescent="0.3">
      <c r="C178" s="3">
        <f t="shared" si="2"/>
        <v>0</v>
      </c>
    </row>
    <row r="179" spans="3:3" x14ac:dyDescent="0.3">
      <c r="C179" s="3">
        <f t="shared" si="2"/>
        <v>0</v>
      </c>
    </row>
    <row r="180" spans="3:3" x14ac:dyDescent="0.3">
      <c r="C180" s="3">
        <f t="shared" si="2"/>
        <v>0</v>
      </c>
    </row>
    <row r="181" spans="3:3" x14ac:dyDescent="0.3">
      <c r="C181" s="3">
        <f t="shared" si="2"/>
        <v>0</v>
      </c>
    </row>
    <row r="182" spans="3:3" x14ac:dyDescent="0.3">
      <c r="C182" s="3">
        <f t="shared" si="2"/>
        <v>0</v>
      </c>
    </row>
    <row r="183" spans="3:3" x14ac:dyDescent="0.3">
      <c r="C183" s="3">
        <f t="shared" si="2"/>
        <v>0</v>
      </c>
    </row>
    <row r="184" spans="3:3" x14ac:dyDescent="0.3">
      <c r="C184" s="3">
        <f t="shared" si="2"/>
        <v>0</v>
      </c>
    </row>
    <row r="185" spans="3:3" x14ac:dyDescent="0.3">
      <c r="C185" s="3">
        <f t="shared" si="2"/>
        <v>0</v>
      </c>
    </row>
    <row r="186" spans="3:3" x14ac:dyDescent="0.3">
      <c r="C186" s="3">
        <f t="shared" si="2"/>
        <v>0</v>
      </c>
    </row>
    <row r="187" spans="3:3" x14ac:dyDescent="0.3">
      <c r="C187" s="3">
        <f t="shared" si="2"/>
        <v>0</v>
      </c>
    </row>
    <row r="188" spans="3:3" x14ac:dyDescent="0.3">
      <c r="C188" s="3">
        <f t="shared" si="2"/>
        <v>0</v>
      </c>
    </row>
    <row r="189" spans="3:3" x14ac:dyDescent="0.3">
      <c r="C189" s="3">
        <f t="shared" si="2"/>
        <v>0</v>
      </c>
    </row>
    <row r="190" spans="3:3" x14ac:dyDescent="0.3">
      <c r="C190" s="3">
        <f t="shared" si="2"/>
        <v>0</v>
      </c>
    </row>
    <row r="191" spans="3:3" x14ac:dyDescent="0.3">
      <c r="C191" s="3">
        <f t="shared" si="2"/>
        <v>0</v>
      </c>
    </row>
    <row r="192" spans="3:3" x14ac:dyDescent="0.3">
      <c r="C192" s="3">
        <f t="shared" si="2"/>
        <v>0</v>
      </c>
    </row>
    <row r="193" spans="3:3" x14ac:dyDescent="0.3">
      <c r="C193" s="3">
        <f t="shared" si="2"/>
        <v>0</v>
      </c>
    </row>
    <row r="194" spans="3:3" x14ac:dyDescent="0.3">
      <c r="C194" s="3">
        <f t="shared" ref="C194:C257" si="3">COUNTIF(A:A,B194)</f>
        <v>0</v>
      </c>
    </row>
    <row r="195" spans="3:3" x14ac:dyDescent="0.3">
      <c r="C195" s="3">
        <f t="shared" si="3"/>
        <v>0</v>
      </c>
    </row>
    <row r="196" spans="3:3" x14ac:dyDescent="0.3">
      <c r="C196" s="3">
        <f t="shared" si="3"/>
        <v>0</v>
      </c>
    </row>
    <row r="197" spans="3:3" x14ac:dyDescent="0.3">
      <c r="C197" s="3">
        <f t="shared" si="3"/>
        <v>0</v>
      </c>
    </row>
    <row r="198" spans="3:3" x14ac:dyDescent="0.3">
      <c r="C198" s="3">
        <f t="shared" si="3"/>
        <v>0</v>
      </c>
    </row>
    <row r="199" spans="3:3" x14ac:dyDescent="0.3">
      <c r="C199" s="3">
        <f t="shared" si="3"/>
        <v>0</v>
      </c>
    </row>
    <row r="200" spans="3:3" x14ac:dyDescent="0.3">
      <c r="C200" s="3">
        <f t="shared" si="3"/>
        <v>0</v>
      </c>
    </row>
    <row r="201" spans="3:3" x14ac:dyDescent="0.3">
      <c r="C201" s="3">
        <f t="shared" si="3"/>
        <v>0</v>
      </c>
    </row>
    <row r="202" spans="3:3" x14ac:dyDescent="0.3">
      <c r="C202" s="3">
        <f t="shared" si="3"/>
        <v>0</v>
      </c>
    </row>
    <row r="203" spans="3:3" x14ac:dyDescent="0.3">
      <c r="C203" s="3">
        <f t="shared" si="3"/>
        <v>0</v>
      </c>
    </row>
    <row r="204" spans="3:3" x14ac:dyDescent="0.3">
      <c r="C204" s="3">
        <f t="shared" si="3"/>
        <v>0</v>
      </c>
    </row>
    <row r="205" spans="3:3" x14ac:dyDescent="0.3">
      <c r="C205" s="3">
        <f t="shared" si="3"/>
        <v>0</v>
      </c>
    </row>
    <row r="206" spans="3:3" x14ac:dyDescent="0.3">
      <c r="C206" s="3">
        <f t="shared" si="3"/>
        <v>0</v>
      </c>
    </row>
    <row r="207" spans="3:3" x14ac:dyDescent="0.3">
      <c r="C207" s="3">
        <f t="shared" si="3"/>
        <v>0</v>
      </c>
    </row>
    <row r="208" spans="3:3" x14ac:dyDescent="0.3">
      <c r="C208" s="3">
        <f t="shared" si="3"/>
        <v>0</v>
      </c>
    </row>
    <row r="209" spans="3:3" x14ac:dyDescent="0.3">
      <c r="C209" s="3">
        <f t="shared" si="3"/>
        <v>0</v>
      </c>
    </row>
    <row r="210" spans="3:3" x14ac:dyDescent="0.3">
      <c r="C210" s="3">
        <f t="shared" si="3"/>
        <v>0</v>
      </c>
    </row>
    <row r="211" spans="3:3" x14ac:dyDescent="0.3">
      <c r="C211" s="3">
        <f t="shared" si="3"/>
        <v>0</v>
      </c>
    </row>
    <row r="212" spans="3:3" x14ac:dyDescent="0.3">
      <c r="C212" s="3">
        <f t="shared" si="3"/>
        <v>0</v>
      </c>
    </row>
    <row r="213" spans="3:3" x14ac:dyDescent="0.3">
      <c r="C213" s="3">
        <f t="shared" si="3"/>
        <v>0</v>
      </c>
    </row>
    <row r="214" spans="3:3" x14ac:dyDescent="0.3">
      <c r="C214" s="3">
        <f t="shared" si="3"/>
        <v>0</v>
      </c>
    </row>
    <row r="215" spans="3:3" x14ac:dyDescent="0.3">
      <c r="C215" s="3">
        <f t="shared" si="3"/>
        <v>0</v>
      </c>
    </row>
    <row r="216" spans="3:3" x14ac:dyDescent="0.3">
      <c r="C216" s="3">
        <f t="shared" si="3"/>
        <v>0</v>
      </c>
    </row>
    <row r="217" spans="3:3" x14ac:dyDescent="0.3">
      <c r="C217" s="3">
        <f t="shared" si="3"/>
        <v>0</v>
      </c>
    </row>
    <row r="218" spans="3:3" x14ac:dyDescent="0.3">
      <c r="C218" s="3">
        <f t="shared" si="3"/>
        <v>0</v>
      </c>
    </row>
    <row r="219" spans="3:3" x14ac:dyDescent="0.3">
      <c r="C219" s="3">
        <f t="shared" si="3"/>
        <v>0</v>
      </c>
    </row>
    <row r="220" spans="3:3" x14ac:dyDescent="0.3">
      <c r="C220" s="3">
        <f t="shared" si="3"/>
        <v>0</v>
      </c>
    </row>
    <row r="221" spans="3:3" x14ac:dyDescent="0.3">
      <c r="C221" s="3">
        <f t="shared" si="3"/>
        <v>0</v>
      </c>
    </row>
    <row r="222" spans="3:3" x14ac:dyDescent="0.3">
      <c r="C222" s="3">
        <f t="shared" si="3"/>
        <v>0</v>
      </c>
    </row>
    <row r="223" spans="3:3" x14ac:dyDescent="0.3">
      <c r="C223" s="3">
        <f t="shared" si="3"/>
        <v>0</v>
      </c>
    </row>
    <row r="224" spans="3:3" x14ac:dyDescent="0.3">
      <c r="C224" s="3">
        <f t="shared" si="3"/>
        <v>0</v>
      </c>
    </row>
    <row r="225" spans="3:3" x14ac:dyDescent="0.3">
      <c r="C225" s="3">
        <f t="shared" si="3"/>
        <v>0</v>
      </c>
    </row>
    <row r="226" spans="3:3" x14ac:dyDescent="0.3">
      <c r="C226" s="3">
        <f t="shared" si="3"/>
        <v>0</v>
      </c>
    </row>
    <row r="227" spans="3:3" x14ac:dyDescent="0.3">
      <c r="C227" s="3">
        <f t="shared" si="3"/>
        <v>0</v>
      </c>
    </row>
    <row r="228" spans="3:3" x14ac:dyDescent="0.3">
      <c r="C228" s="3">
        <f t="shared" si="3"/>
        <v>0</v>
      </c>
    </row>
    <row r="229" spans="3:3" x14ac:dyDescent="0.3">
      <c r="C229" s="3">
        <f t="shared" si="3"/>
        <v>0</v>
      </c>
    </row>
    <row r="230" spans="3:3" x14ac:dyDescent="0.3">
      <c r="C230" s="3">
        <f t="shared" si="3"/>
        <v>0</v>
      </c>
    </row>
    <row r="231" spans="3:3" x14ac:dyDescent="0.3">
      <c r="C231" s="3">
        <f t="shared" si="3"/>
        <v>0</v>
      </c>
    </row>
    <row r="232" spans="3:3" x14ac:dyDescent="0.3">
      <c r="C232" s="3">
        <f t="shared" si="3"/>
        <v>0</v>
      </c>
    </row>
    <row r="233" spans="3:3" x14ac:dyDescent="0.3">
      <c r="C233" s="3">
        <f t="shared" si="3"/>
        <v>0</v>
      </c>
    </row>
    <row r="234" spans="3:3" x14ac:dyDescent="0.3">
      <c r="C234" s="3">
        <f t="shared" si="3"/>
        <v>0</v>
      </c>
    </row>
    <row r="235" spans="3:3" x14ac:dyDescent="0.3">
      <c r="C235" s="3">
        <f t="shared" si="3"/>
        <v>0</v>
      </c>
    </row>
    <row r="236" spans="3:3" x14ac:dyDescent="0.3">
      <c r="C236" s="3">
        <f t="shared" si="3"/>
        <v>0</v>
      </c>
    </row>
    <row r="237" spans="3:3" x14ac:dyDescent="0.3">
      <c r="C237" s="3">
        <f t="shared" si="3"/>
        <v>0</v>
      </c>
    </row>
    <row r="238" spans="3:3" x14ac:dyDescent="0.3">
      <c r="C238" s="3">
        <f t="shared" si="3"/>
        <v>0</v>
      </c>
    </row>
    <row r="239" spans="3:3" x14ac:dyDescent="0.3">
      <c r="C239" s="3">
        <f t="shared" si="3"/>
        <v>0</v>
      </c>
    </row>
    <row r="240" spans="3:3" x14ac:dyDescent="0.3">
      <c r="C240" s="3">
        <f t="shared" si="3"/>
        <v>0</v>
      </c>
    </row>
    <row r="241" spans="3:3" x14ac:dyDescent="0.3">
      <c r="C241" s="3">
        <f t="shared" si="3"/>
        <v>0</v>
      </c>
    </row>
    <row r="242" spans="3:3" x14ac:dyDescent="0.3">
      <c r="C242" s="3">
        <f t="shared" si="3"/>
        <v>0</v>
      </c>
    </row>
    <row r="243" spans="3:3" x14ac:dyDescent="0.3">
      <c r="C243" s="3">
        <f t="shared" si="3"/>
        <v>0</v>
      </c>
    </row>
    <row r="244" spans="3:3" x14ac:dyDescent="0.3">
      <c r="C244" s="3">
        <f t="shared" si="3"/>
        <v>0</v>
      </c>
    </row>
    <row r="245" spans="3:3" x14ac:dyDescent="0.3">
      <c r="C245" s="3">
        <f t="shared" si="3"/>
        <v>0</v>
      </c>
    </row>
    <row r="246" spans="3:3" x14ac:dyDescent="0.3">
      <c r="C246" s="3">
        <f t="shared" si="3"/>
        <v>0</v>
      </c>
    </row>
    <row r="247" spans="3:3" x14ac:dyDescent="0.3">
      <c r="C247" s="3">
        <f t="shared" si="3"/>
        <v>0</v>
      </c>
    </row>
    <row r="248" spans="3:3" x14ac:dyDescent="0.3">
      <c r="C248" s="3">
        <f t="shared" si="3"/>
        <v>0</v>
      </c>
    </row>
    <row r="249" spans="3:3" x14ac:dyDescent="0.3">
      <c r="C249" s="3">
        <f t="shared" si="3"/>
        <v>0</v>
      </c>
    </row>
    <row r="250" spans="3:3" x14ac:dyDescent="0.3">
      <c r="C250" s="3">
        <f t="shared" si="3"/>
        <v>0</v>
      </c>
    </row>
    <row r="251" spans="3:3" x14ac:dyDescent="0.3">
      <c r="C251" s="3">
        <f t="shared" si="3"/>
        <v>0</v>
      </c>
    </row>
    <row r="252" spans="3:3" x14ac:dyDescent="0.3">
      <c r="C252" s="3">
        <f t="shared" si="3"/>
        <v>0</v>
      </c>
    </row>
    <row r="253" spans="3:3" x14ac:dyDescent="0.3">
      <c r="C253" s="3">
        <f t="shared" si="3"/>
        <v>0</v>
      </c>
    </row>
    <row r="254" spans="3:3" x14ac:dyDescent="0.3">
      <c r="C254" s="3">
        <f t="shared" si="3"/>
        <v>0</v>
      </c>
    </row>
    <row r="255" spans="3:3" x14ac:dyDescent="0.3">
      <c r="C255" s="3">
        <f t="shared" si="3"/>
        <v>0</v>
      </c>
    </row>
    <row r="256" spans="3:3" x14ac:dyDescent="0.3">
      <c r="C256" s="3">
        <f t="shared" si="3"/>
        <v>0</v>
      </c>
    </row>
    <row r="257" spans="3:3" x14ac:dyDescent="0.3">
      <c r="C257" s="3">
        <f t="shared" si="3"/>
        <v>0</v>
      </c>
    </row>
    <row r="258" spans="3:3" x14ac:dyDescent="0.3">
      <c r="C258" s="3">
        <f t="shared" ref="C258:C321" si="4">COUNTIF(A:A,B258)</f>
        <v>0</v>
      </c>
    </row>
    <row r="259" spans="3:3" x14ac:dyDescent="0.3">
      <c r="C259" s="3">
        <f t="shared" si="4"/>
        <v>0</v>
      </c>
    </row>
    <row r="260" spans="3:3" x14ac:dyDescent="0.3">
      <c r="C260" s="3">
        <f t="shared" si="4"/>
        <v>0</v>
      </c>
    </row>
    <row r="261" spans="3:3" x14ac:dyDescent="0.3">
      <c r="C261" s="3">
        <f t="shared" si="4"/>
        <v>0</v>
      </c>
    </row>
    <row r="262" spans="3:3" x14ac:dyDescent="0.3">
      <c r="C262" s="3">
        <f t="shared" si="4"/>
        <v>0</v>
      </c>
    </row>
    <row r="263" spans="3:3" x14ac:dyDescent="0.3">
      <c r="C263" s="3">
        <f t="shared" si="4"/>
        <v>0</v>
      </c>
    </row>
    <row r="264" spans="3:3" x14ac:dyDescent="0.3">
      <c r="C264" s="3">
        <f t="shared" si="4"/>
        <v>0</v>
      </c>
    </row>
    <row r="265" spans="3:3" x14ac:dyDescent="0.3">
      <c r="C265" s="3">
        <f t="shared" si="4"/>
        <v>0</v>
      </c>
    </row>
    <row r="266" spans="3:3" x14ac:dyDescent="0.3">
      <c r="C266" s="3">
        <f t="shared" si="4"/>
        <v>0</v>
      </c>
    </row>
    <row r="267" spans="3:3" x14ac:dyDescent="0.3">
      <c r="C267" s="3">
        <f t="shared" si="4"/>
        <v>0</v>
      </c>
    </row>
    <row r="268" spans="3:3" x14ac:dyDescent="0.3">
      <c r="C268" s="3">
        <f t="shared" si="4"/>
        <v>0</v>
      </c>
    </row>
    <row r="269" spans="3:3" x14ac:dyDescent="0.3">
      <c r="C269" s="3">
        <f t="shared" si="4"/>
        <v>0</v>
      </c>
    </row>
    <row r="270" spans="3:3" x14ac:dyDescent="0.3">
      <c r="C270" s="3">
        <f t="shared" si="4"/>
        <v>0</v>
      </c>
    </row>
    <row r="271" spans="3:3" x14ac:dyDescent="0.3">
      <c r="C271" s="3">
        <f t="shared" si="4"/>
        <v>0</v>
      </c>
    </row>
    <row r="272" spans="3:3" x14ac:dyDescent="0.3">
      <c r="C272" s="3">
        <f t="shared" si="4"/>
        <v>0</v>
      </c>
    </row>
    <row r="273" spans="3:3" x14ac:dyDescent="0.3">
      <c r="C273" s="3">
        <f t="shared" si="4"/>
        <v>0</v>
      </c>
    </row>
    <row r="274" spans="3:3" x14ac:dyDescent="0.3">
      <c r="C274" s="3">
        <f t="shared" si="4"/>
        <v>0</v>
      </c>
    </row>
    <row r="275" spans="3:3" x14ac:dyDescent="0.3">
      <c r="C275" s="3">
        <f t="shared" si="4"/>
        <v>0</v>
      </c>
    </row>
    <row r="276" spans="3:3" x14ac:dyDescent="0.3">
      <c r="C276" s="3">
        <f t="shared" si="4"/>
        <v>0</v>
      </c>
    </row>
    <row r="277" spans="3:3" x14ac:dyDescent="0.3">
      <c r="C277" s="3">
        <f t="shared" si="4"/>
        <v>0</v>
      </c>
    </row>
    <row r="278" spans="3:3" x14ac:dyDescent="0.3">
      <c r="C278" s="3">
        <f t="shared" si="4"/>
        <v>0</v>
      </c>
    </row>
    <row r="279" spans="3:3" x14ac:dyDescent="0.3">
      <c r="C279" s="3">
        <f t="shared" si="4"/>
        <v>0</v>
      </c>
    </row>
    <row r="280" spans="3:3" x14ac:dyDescent="0.3">
      <c r="C280" s="3">
        <f t="shared" si="4"/>
        <v>0</v>
      </c>
    </row>
    <row r="281" spans="3:3" x14ac:dyDescent="0.3">
      <c r="C281" s="3">
        <f t="shared" si="4"/>
        <v>0</v>
      </c>
    </row>
    <row r="282" spans="3:3" x14ac:dyDescent="0.3">
      <c r="C282" s="3">
        <f t="shared" si="4"/>
        <v>0</v>
      </c>
    </row>
    <row r="283" spans="3:3" x14ac:dyDescent="0.3">
      <c r="C283" s="3">
        <f t="shared" si="4"/>
        <v>0</v>
      </c>
    </row>
    <row r="284" spans="3:3" x14ac:dyDescent="0.3">
      <c r="C284" s="3">
        <f t="shared" si="4"/>
        <v>0</v>
      </c>
    </row>
    <row r="285" spans="3:3" x14ac:dyDescent="0.3">
      <c r="C285" s="3">
        <f t="shared" si="4"/>
        <v>0</v>
      </c>
    </row>
    <row r="286" spans="3:3" x14ac:dyDescent="0.3">
      <c r="C286" s="3">
        <f t="shared" si="4"/>
        <v>0</v>
      </c>
    </row>
    <row r="287" spans="3:3" x14ac:dyDescent="0.3">
      <c r="C287" s="3">
        <f t="shared" si="4"/>
        <v>0</v>
      </c>
    </row>
    <row r="288" spans="3:3" x14ac:dyDescent="0.3">
      <c r="C288" s="3">
        <f t="shared" si="4"/>
        <v>0</v>
      </c>
    </row>
    <row r="289" spans="3:3" x14ac:dyDescent="0.3">
      <c r="C289" s="3">
        <f t="shared" si="4"/>
        <v>0</v>
      </c>
    </row>
    <row r="290" spans="3:3" x14ac:dyDescent="0.3">
      <c r="C290" s="3">
        <f t="shared" si="4"/>
        <v>0</v>
      </c>
    </row>
    <row r="291" spans="3:3" x14ac:dyDescent="0.3">
      <c r="C291" s="3">
        <f t="shared" si="4"/>
        <v>0</v>
      </c>
    </row>
    <row r="292" spans="3:3" x14ac:dyDescent="0.3">
      <c r="C292" s="3">
        <f t="shared" si="4"/>
        <v>0</v>
      </c>
    </row>
    <row r="293" spans="3:3" x14ac:dyDescent="0.3">
      <c r="C293" s="3">
        <f t="shared" si="4"/>
        <v>0</v>
      </c>
    </row>
    <row r="294" spans="3:3" x14ac:dyDescent="0.3">
      <c r="C294" s="3">
        <f t="shared" si="4"/>
        <v>0</v>
      </c>
    </row>
    <row r="295" spans="3:3" x14ac:dyDescent="0.3">
      <c r="C295" s="3">
        <f t="shared" si="4"/>
        <v>0</v>
      </c>
    </row>
    <row r="296" spans="3:3" x14ac:dyDescent="0.3">
      <c r="C296" s="3">
        <f t="shared" si="4"/>
        <v>0</v>
      </c>
    </row>
    <row r="297" spans="3:3" x14ac:dyDescent="0.3">
      <c r="C297" s="3">
        <f t="shared" si="4"/>
        <v>0</v>
      </c>
    </row>
    <row r="298" spans="3:3" x14ac:dyDescent="0.3">
      <c r="C298" s="3">
        <f t="shared" si="4"/>
        <v>0</v>
      </c>
    </row>
    <row r="299" spans="3:3" x14ac:dyDescent="0.3">
      <c r="C299" s="3">
        <f t="shared" si="4"/>
        <v>0</v>
      </c>
    </row>
    <row r="300" spans="3:3" x14ac:dyDescent="0.3">
      <c r="C300" s="3">
        <f t="shared" si="4"/>
        <v>0</v>
      </c>
    </row>
    <row r="301" spans="3:3" x14ac:dyDescent="0.3">
      <c r="C301" s="3">
        <f t="shared" si="4"/>
        <v>0</v>
      </c>
    </row>
    <row r="302" spans="3:3" x14ac:dyDescent="0.3">
      <c r="C302" s="3">
        <f t="shared" si="4"/>
        <v>0</v>
      </c>
    </row>
    <row r="303" spans="3:3" x14ac:dyDescent="0.3">
      <c r="C303" s="3">
        <f t="shared" si="4"/>
        <v>0</v>
      </c>
    </row>
    <row r="304" spans="3:3" x14ac:dyDescent="0.3">
      <c r="C304" s="3">
        <f t="shared" si="4"/>
        <v>0</v>
      </c>
    </row>
    <row r="305" spans="3:3" x14ac:dyDescent="0.3">
      <c r="C305" s="3">
        <f t="shared" si="4"/>
        <v>0</v>
      </c>
    </row>
    <row r="306" spans="3:3" x14ac:dyDescent="0.3">
      <c r="C306" s="3">
        <f t="shared" si="4"/>
        <v>0</v>
      </c>
    </row>
    <row r="307" spans="3:3" x14ac:dyDescent="0.3">
      <c r="C307" s="3">
        <f t="shared" si="4"/>
        <v>0</v>
      </c>
    </row>
    <row r="308" spans="3:3" x14ac:dyDescent="0.3">
      <c r="C308" s="3">
        <f t="shared" si="4"/>
        <v>0</v>
      </c>
    </row>
    <row r="309" spans="3:3" x14ac:dyDescent="0.3">
      <c r="C309" s="3">
        <f t="shared" si="4"/>
        <v>0</v>
      </c>
    </row>
    <row r="310" spans="3:3" x14ac:dyDescent="0.3">
      <c r="C310" s="3">
        <f t="shared" si="4"/>
        <v>0</v>
      </c>
    </row>
    <row r="311" spans="3:3" x14ac:dyDescent="0.3">
      <c r="C311" s="3">
        <f t="shared" si="4"/>
        <v>0</v>
      </c>
    </row>
    <row r="312" spans="3:3" x14ac:dyDescent="0.3">
      <c r="C312" s="3">
        <f t="shared" si="4"/>
        <v>0</v>
      </c>
    </row>
    <row r="313" spans="3:3" x14ac:dyDescent="0.3">
      <c r="C313" s="3">
        <f t="shared" si="4"/>
        <v>0</v>
      </c>
    </row>
    <row r="314" spans="3:3" x14ac:dyDescent="0.3">
      <c r="C314" s="3">
        <f t="shared" si="4"/>
        <v>0</v>
      </c>
    </row>
    <row r="315" spans="3:3" x14ac:dyDescent="0.3">
      <c r="C315" s="3">
        <f t="shared" si="4"/>
        <v>0</v>
      </c>
    </row>
    <row r="316" spans="3:3" x14ac:dyDescent="0.3">
      <c r="C316" s="3">
        <f t="shared" si="4"/>
        <v>0</v>
      </c>
    </row>
    <row r="317" spans="3:3" x14ac:dyDescent="0.3">
      <c r="C317" s="3">
        <f t="shared" si="4"/>
        <v>0</v>
      </c>
    </row>
    <row r="318" spans="3:3" x14ac:dyDescent="0.3">
      <c r="C318" s="3">
        <f t="shared" si="4"/>
        <v>0</v>
      </c>
    </row>
    <row r="319" spans="3:3" x14ac:dyDescent="0.3">
      <c r="C319" s="3">
        <f t="shared" si="4"/>
        <v>0</v>
      </c>
    </row>
    <row r="320" spans="3:3" x14ac:dyDescent="0.3">
      <c r="C320" s="3">
        <f t="shared" si="4"/>
        <v>0</v>
      </c>
    </row>
    <row r="321" spans="3:3" x14ac:dyDescent="0.3">
      <c r="C321" s="3">
        <f t="shared" si="4"/>
        <v>0</v>
      </c>
    </row>
    <row r="322" spans="3:3" x14ac:dyDescent="0.3">
      <c r="C322" s="3">
        <f t="shared" ref="C322:C356" si="5">COUNTIF(A:A,B322)</f>
        <v>0</v>
      </c>
    </row>
    <row r="323" spans="3:3" x14ac:dyDescent="0.3">
      <c r="C323" s="3">
        <f t="shared" si="5"/>
        <v>0</v>
      </c>
    </row>
    <row r="324" spans="3:3" x14ac:dyDescent="0.3">
      <c r="C324" s="3">
        <f t="shared" si="5"/>
        <v>0</v>
      </c>
    </row>
    <row r="325" spans="3:3" x14ac:dyDescent="0.3">
      <c r="C325" s="3">
        <f t="shared" si="5"/>
        <v>0</v>
      </c>
    </row>
    <row r="326" spans="3:3" x14ac:dyDescent="0.3">
      <c r="C326" s="3">
        <f t="shared" si="5"/>
        <v>0</v>
      </c>
    </row>
    <row r="327" spans="3:3" x14ac:dyDescent="0.3">
      <c r="C327" s="3">
        <f t="shared" si="5"/>
        <v>0</v>
      </c>
    </row>
    <row r="328" spans="3:3" x14ac:dyDescent="0.3">
      <c r="C328" s="3">
        <f t="shared" si="5"/>
        <v>0</v>
      </c>
    </row>
    <row r="329" spans="3:3" x14ac:dyDescent="0.3">
      <c r="C329" s="3">
        <f t="shared" si="5"/>
        <v>0</v>
      </c>
    </row>
    <row r="330" spans="3:3" x14ac:dyDescent="0.3">
      <c r="C330" s="3">
        <f t="shared" si="5"/>
        <v>0</v>
      </c>
    </row>
    <row r="331" spans="3:3" x14ac:dyDescent="0.3">
      <c r="C331" s="3">
        <f t="shared" si="5"/>
        <v>0</v>
      </c>
    </row>
    <row r="332" spans="3:3" x14ac:dyDescent="0.3">
      <c r="C332" s="3">
        <f t="shared" si="5"/>
        <v>0</v>
      </c>
    </row>
    <row r="333" spans="3:3" x14ac:dyDescent="0.3">
      <c r="C333" s="3">
        <f t="shared" si="5"/>
        <v>0</v>
      </c>
    </row>
    <row r="334" spans="3:3" x14ac:dyDescent="0.3">
      <c r="C334" s="3">
        <f t="shared" si="5"/>
        <v>0</v>
      </c>
    </row>
    <row r="335" spans="3:3" x14ac:dyDescent="0.3">
      <c r="C335" s="3">
        <f t="shared" si="5"/>
        <v>0</v>
      </c>
    </row>
    <row r="336" spans="3:3" x14ac:dyDescent="0.3">
      <c r="C336" s="3">
        <f t="shared" si="5"/>
        <v>0</v>
      </c>
    </row>
    <row r="337" spans="3:3" x14ac:dyDescent="0.3">
      <c r="C337" s="3">
        <f t="shared" si="5"/>
        <v>0</v>
      </c>
    </row>
    <row r="338" spans="3:3" x14ac:dyDescent="0.3">
      <c r="C338" s="3">
        <f t="shared" si="5"/>
        <v>0</v>
      </c>
    </row>
    <row r="339" spans="3:3" x14ac:dyDescent="0.3">
      <c r="C339" s="3">
        <f t="shared" si="5"/>
        <v>0</v>
      </c>
    </row>
    <row r="340" spans="3:3" x14ac:dyDescent="0.3">
      <c r="C340" s="3">
        <f t="shared" si="5"/>
        <v>0</v>
      </c>
    </row>
    <row r="341" spans="3:3" x14ac:dyDescent="0.3">
      <c r="C341" s="3">
        <f t="shared" si="5"/>
        <v>0</v>
      </c>
    </row>
    <row r="342" spans="3:3" x14ac:dyDescent="0.3">
      <c r="C342" s="3">
        <f t="shared" si="5"/>
        <v>0</v>
      </c>
    </row>
    <row r="343" spans="3:3" x14ac:dyDescent="0.3">
      <c r="C343" s="3">
        <f t="shared" si="5"/>
        <v>0</v>
      </c>
    </row>
    <row r="344" spans="3:3" x14ac:dyDescent="0.3">
      <c r="C344" s="3">
        <f t="shared" si="5"/>
        <v>0</v>
      </c>
    </row>
    <row r="345" spans="3:3" x14ac:dyDescent="0.3">
      <c r="C345" s="3">
        <f t="shared" si="5"/>
        <v>0</v>
      </c>
    </row>
    <row r="346" spans="3:3" x14ac:dyDescent="0.3">
      <c r="C346" s="3">
        <f t="shared" si="5"/>
        <v>0</v>
      </c>
    </row>
    <row r="347" spans="3:3" x14ac:dyDescent="0.3">
      <c r="C347" s="3">
        <f t="shared" si="5"/>
        <v>0</v>
      </c>
    </row>
    <row r="348" spans="3:3" x14ac:dyDescent="0.3">
      <c r="C348" s="3">
        <f t="shared" si="5"/>
        <v>0</v>
      </c>
    </row>
    <row r="349" spans="3:3" x14ac:dyDescent="0.3">
      <c r="C349" s="3">
        <f t="shared" si="5"/>
        <v>0</v>
      </c>
    </row>
    <row r="350" spans="3:3" x14ac:dyDescent="0.3">
      <c r="C350" s="3">
        <f t="shared" si="5"/>
        <v>0</v>
      </c>
    </row>
    <row r="351" spans="3:3" x14ac:dyDescent="0.3">
      <c r="C351" s="3">
        <f t="shared" si="5"/>
        <v>0</v>
      </c>
    </row>
    <row r="352" spans="3:3" x14ac:dyDescent="0.3">
      <c r="C352" s="3">
        <f t="shared" si="5"/>
        <v>0</v>
      </c>
    </row>
    <row r="353" spans="3:3" x14ac:dyDescent="0.3">
      <c r="C353" s="3">
        <f t="shared" si="5"/>
        <v>0</v>
      </c>
    </row>
    <row r="354" spans="3:3" x14ac:dyDescent="0.3">
      <c r="C354" s="3">
        <f t="shared" si="5"/>
        <v>0</v>
      </c>
    </row>
    <row r="355" spans="3:3" x14ac:dyDescent="0.3">
      <c r="C355" s="3">
        <f t="shared" si="5"/>
        <v>0</v>
      </c>
    </row>
    <row r="356" spans="3:3" x14ac:dyDescent="0.3">
      <c r="C356" s="3">
        <f t="shared" si="5"/>
        <v>0</v>
      </c>
    </row>
  </sheetData>
  <phoneticPr fontId="4" type="noConversion"/>
  <conditionalFormatting sqref="B1 B3:B26 B37:B1048576">
    <cfRule type="duplicateValues" dxfId="8" priority="13"/>
    <cfRule type="duplicateValues" dxfId="7" priority="14"/>
    <cfRule type="duplicateValues" dxfId="6" priority="15"/>
  </conditionalFormatting>
  <conditionalFormatting sqref="B1 B3:B1048576">
    <cfRule type="duplicateValues" dxfId="5" priority="5"/>
    <cfRule type="duplicateValues" dxfId="4" priority="9"/>
  </conditionalFormatting>
  <conditionalFormatting sqref="B2">
    <cfRule type="duplicateValues" dxfId="3" priority="2"/>
    <cfRule type="duplicateValues" dxfId="2" priority="3"/>
    <cfRule type="duplicateValues" dxfId="1" priority="4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"/>
  <sheetViews>
    <sheetView workbookViewId="0">
      <selection sqref="A1:U1"/>
    </sheetView>
  </sheetViews>
  <sheetFormatPr defaultRowHeight="16.5" x14ac:dyDescent="0.3"/>
  <sheetData>
    <row r="1" spans="1:21" ht="300" customHeight="1" x14ac:dyDescent="0.3">
      <c r="A1" s="43" t="s">
        <v>192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5"/>
    </row>
    <row r="3" spans="1:21" ht="200.1" customHeight="1" x14ac:dyDescent="0.3">
      <c r="A3" s="43" t="s">
        <v>193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5"/>
    </row>
  </sheetData>
  <mergeCells count="2">
    <mergeCell ref="A1:U1"/>
    <mergeCell ref="A3:U3"/>
  </mergeCells>
  <phoneticPr fontId="4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로켓그로스 입고</vt:lpstr>
      <vt:lpstr>바코드찍는곳</vt:lpstr>
      <vt:lpstr>엑셀 일괄 입고요청 사용법 및 유의사항</vt:lpstr>
      <vt:lpstr>바코드찍는곳!Extract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준호 문</cp:lastModifiedBy>
  <dcterms:created xsi:type="dcterms:W3CDTF">2023-06-16T02:25:18Z</dcterms:created>
  <dcterms:modified xsi:type="dcterms:W3CDTF">2025-09-02T06:57:08Z</dcterms:modified>
</cp:coreProperties>
</file>