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물류 메인\OneDrive\바탕 화면\"/>
    </mc:Choice>
  </mc:AlternateContent>
  <xr:revisionPtr revIDLastSave="0" documentId="13_ncr:1_{516BA48A-AD28-45E0-A386-49232D368F8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로켓그로스 입고" sheetId="1" r:id="rId1"/>
    <sheet name="바코드찍는곳" sheetId="3" r:id="rId2"/>
    <sheet name="엑셀 일괄 입고요청 사용법 및 유의사항" sheetId="2" r:id="rId3"/>
  </sheets>
  <definedNames>
    <definedName name="_xlnm._FilterDatabase" localSheetId="0" hidden="1">'로켓그로스 입고'!$A$3:$AQ$116</definedName>
    <definedName name="_xlnm._FilterDatabase" localSheetId="1" hidden="1">바코드찍는곳!$A$2:$A$1308</definedName>
    <definedName name="_xlnm.Extract" localSheetId="1">바코드찍는곳!$B$2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" l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C356" i="3" l="1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<sst xmlns="http://schemas.openxmlformats.org/spreadsheetml/2006/main" count="2179" uniqueCount="440">
  <si>
    <t>*지난 1개월 매출순 기준으로 로켓그로스 판매 가능한 상품 목록입니다. 로켓그로스에서 운영하지 않는 카테고리나 품목은 제외되었습니다.
*로켓그로스 입고 필수 정보를 입력하고 윙 [로켓그로스 &gt; 입고관리 &gt; 입고요청 &gt; 상품선택 &gt; 엑셀 업로드]에서 엑셀 파일을 업로드하고 배송을 생성해주세요.</t>
  </si>
  <si>
    <t>*로켓그로스 입고 필수정보
로켓그로스로 입고하려면 파란색 테두리의 정보를 입력 후 엑셀파일을 윙에서 업로드해주세요</t>
  </si>
  <si>
    <t>*엑셀 업로드 바로가기 ▶</t>
  </si>
  <si>
    <t>1. 좌측 하단의 파란색 테두리를 입력한 후 좌측 바로가기를 눌러 본 엑셀 파일을 윙에 업로드해주세요.
2. 업로드 완료 후 윙의 안내에 따라 입고절차를 진행해주세요.</t>
  </si>
  <si>
    <t xml:space="preserve"> </t>
  </si>
  <si>
    <t>상품명</t>
  </si>
  <si>
    <t>판매가</t>
  </si>
  <si>
    <t>상품정보</t>
  </si>
  <si>
    <t>최근 상품별 매출정보(원)</t>
  </si>
  <si>
    <t>로켓그로스 수수료/서비스 예상 요금</t>
  </si>
  <si>
    <t>입고 수량</t>
  </si>
  <si>
    <t>유통기간</t>
  </si>
  <si>
    <t>물류 정보</t>
  </si>
  <si>
    <t>상품추가정보</t>
  </si>
  <si>
    <t>No.</t>
  </si>
  <si>
    <t>등록상품명</t>
  </si>
  <si>
    <t>옵션명</t>
  </si>
  <si>
    <t>노출상품 ID</t>
  </si>
  <si>
    <t>등록상품 ID</t>
  </si>
  <si>
    <t>옵션 ID</t>
  </si>
  <si>
    <t>판매 방식</t>
  </si>
  <si>
    <t>22년 총계</t>
  </si>
  <si>
    <t>23년 총계</t>
  </si>
  <si>
    <t>23년 3월</t>
  </si>
  <si>
    <t>23년 2월</t>
  </si>
  <si>
    <t>23년 1월</t>
  </si>
  <si>
    <t>지난 14일</t>
  </si>
  <si>
    <t>2주간 
판매수량</t>
  </si>
  <si>
    <t>1주간 
판매수량</t>
  </si>
  <si>
    <t>판매자
수수료율</t>
  </si>
  <si>
    <t>판매자
수수료</t>
  </si>
  <si>
    <t>쿠팡풀필먼트서비스
예상 요금(개당)
(입출고요금+배송료 / 보관료 미포함)</t>
  </si>
  <si>
    <t>기본 할인액</t>
  </si>
  <si>
    <t>할인 적용 예상 요금</t>
  </si>
  <si>
    <t>입고 수량 입력
(필수)</t>
  </si>
  <si>
    <t>입고수량에 따른
2주간 예상 매출</t>
  </si>
  <si>
    <t>유통기간 입력 
(해당 시 필수)</t>
  </si>
  <si>
    <t>유통(소비)기한
(필수)</t>
  </si>
  <si>
    <t>제조일자
(필수)</t>
  </si>
  <si>
    <t>생산년도
(필수)</t>
  </si>
  <si>
    <t>상품바코드
(필수)</t>
  </si>
  <si>
    <t>상품 사이즈
(필수)</t>
  </si>
  <si>
    <t>취급주의여부
(필수)</t>
  </si>
  <si>
    <t>판매가능재고</t>
  </si>
  <si>
    <t>예상 재고 소진일</t>
  </si>
  <si>
    <t>카테고리</t>
  </si>
  <si>
    <t>병행수입
여부</t>
  </si>
  <si>
    <t>과세유형</t>
  </si>
  <si>
    <t>SKU ID</t>
  </si>
  <si>
    <t>Req exp date</t>
  </si>
  <si>
    <t>Req man date</t>
  </si>
  <si>
    <t>Req prod year</t>
  </si>
  <si>
    <t>예시 및 설명</t>
  </si>
  <si>
    <t>스누피 티셔츠</t>
  </si>
  <si>
    <t>블랙 S</t>
  </si>
  <si>
    <t>25000</t>
  </si>
  <si>
    <t>7269865933</t>
  </si>
  <si>
    <t>14047501199</t>
  </si>
  <si>
    <t>85676422188</t>
  </si>
  <si>
    <t>판매자배송</t>
  </si>
  <si>
    <t>동일상품 기준
 합산 매출
(로켓그로스 포함)</t>
  </si>
  <si>
    <t>이전 14일 기준
 (단위: 개)</t>
  </si>
  <si>
    <t>이전 7일 기준
 (단위: 개)</t>
  </si>
  <si>
    <t>(댠위: 원)</t>
  </si>
  <si>
    <t>입고수량을 입력하고 
예상 수수료를 알아보세요
 물류센터의 상품 실측 이후 요금은 달라질 수 있습니다.</t>
  </si>
  <si>
    <t>판매기간 2주 기준 추천된 수량이며, 판매자가 변경할 수 있습니다.</t>
  </si>
  <si>
    <t>입고수량 X 판매가</t>
  </si>
  <si>
    <t>일 단위로 입력</t>
  </si>
  <si>
    <t>상품별 기한이 다를 경우, 가장 빠른 날짜로 입력해 주세요.</t>
  </si>
  <si>
    <t>미입력시 쿠팡 바코드가 자동 생성되며, 상품마다 바코드를 출력해서 부착해야 합니다.</t>
  </si>
  <si>
    <t>상품 사이즈 분류 기준이 궁금하세요? 바로가기</t>
  </si>
  <si>
    <t>취급주의 상품(유리 제품, 칼, 페인트)에 해당할 시 표기해주세요.</t>
  </si>
  <si>
    <t>1</t>
  </si>
  <si>
    <t>블랙 230</t>
  </si>
  <si>
    <t>로켓그로스</t>
  </si>
  <si>
    <t>선택입력</t>
  </si>
  <si>
    <t>해당아님</t>
  </si>
  <si>
    <t>0</t>
  </si>
  <si>
    <t>여성뮬/슬리퍼형샌들</t>
  </si>
  <si>
    <t>비병행수입</t>
  </si>
  <si>
    <t>과세</t>
  </si>
  <si>
    <t>Small</t>
  </si>
  <si>
    <t>✔ 엑셀 일괄 입고요청 안내
1. 입고할 수량
- 1~5,000사이의 정수로 입력해주세요. 유효하지 않은 수/미기입 시 입고요청 상품 리스트에서 자동 누락됩니다.
2. 유통기한(소비기한)/제조일자/생산년도
- 실물에 유통기한이 표기된 상품인 경우 반드시 정확한 일자를 입력해 주시기 바랍니다. 카테고리별 필수 기입 항목이 다를 수 있습니다.
- 실물에 유통기한이 존재하나 입력불필요 처리되어있는 경우 입고하지 마시고 로켓그로스 담당자에게 연락해 주십시오. 아무런 조치없이 그대로 입고 시 회송됩니다.
- 작성양식: 유통(소비)기한/제조일자: YYYY-MM-DD, 생산년도: YYYY (예: 유통기한/제조일자 2021-08-12, 생산년도 2021)
2. 업로드 위치 및 주의사항
- 필수 입력사항을 모두 입력하여, [입고 요청하기] 페이지의 [엑셀업로드] 영역에서 파일을 업로드해 주세요.
- 동일상품 중복 입력 시: 우선 입력된 상품(옵션)의 정보로 자동 적용됩니다. (예: 1번,7번에 같은 옵션 ID에 대한 정보가 있을 경우, 1번에 입력된 정보로 반영)
- 엑셀 재업로드 시: 기존의 데이터는 삭제되고, 최종 업로드된 엑셀의 상품 리스트로 자동 적용됩니다.
- 옵션은 최대 200개까지 업로드 가능합니다. 200개 이상 입력된 파일 업로드 시 오류가 발생합니다.
- 이미 입고한 상품의 경우 정보를 변경하여도 반영되지 않습니다.</t>
  </si>
  <si>
    <t>✔유의사항
- 본 자료는 판매자님의 이해를 돕기 위하여 참고용으로 마련되었습니다. 
- 본 자료에 포함된 정보는 당사의 영업비밀에 해당하므로, 제공된 목적 외로 제3자에게 공유하거나 유출하지 않도록 각별히 주의하시기 바랍니다. 
- 또한, 실제로 판매되는 수량, 매출액 등을 보장하지 않으며, 서비스 이용료 및 비용은 판매자님이 입력하는 입고수량을 기준으로 계산한 것이므로 실제로 부과되는 비용과 다를 수 있습니다. 
- 본 자료는 판매자님이 엑셀을 다운로드하는 시점에 Wing에 등록된 판매 정보(가격 등)가 반영되어 있습니다. Wing에 등록된 판매 정보의 변경 및 엑셀을 다운로드하는 시점에 따라 본 자료의 정보도 달라질 수 있습니다.
- 엑셀 내에서는 가격을 포함한 상품의 판매 정보 수정이 불가합니다. 수정이 필요한 경우에는 WING [상품 조회/수정 페이지] 및 가격 수정 페이지에서 직접 수정하여 주시기 바랍니다. 
- 판매자배송 상품으로 바로 엑셀 일괄 입고요청을 한 경우, 엑셀을 업로드 하고 난 뒤 [다음]을 누르면 판매자배송 등록상품 ID 하위에 로켓그로스 옵션ID가 생성됩니다. [상품 조회 및 수정] 페이지에서 확인해주세요.
- 판매자배송 상품을 처음 입고요청한 경우, 재고를 쿠팡풀필먼트센터에 입고가 완료되기 전까지 판매가 이루어지지 않습니다. 입고요청 후에 반드시 재고를 쿠팡풀필먼트센터로 보내주세요.
- 바코드, 유통기간, 상품 크기와 중량 등의 물류정보를 변경하고 싶으신 경우, WING [상품 조회 및 수정]에서 등록상품ID를 검색하여 수정하여 주시기 바랍니다. 쿠팡풀필먼트센터에 도착 한 뒤에는 수정이 불가하니, 참고해주시기 바랍니다.</t>
  </si>
  <si>
    <t>블랙 235</t>
  </si>
  <si>
    <t>블랙 240</t>
  </si>
  <si>
    <t>블랙 245</t>
  </si>
  <si>
    <t>블랙 250</t>
  </si>
  <si>
    <t>블랙 255</t>
  </si>
  <si>
    <t>블랙 260</t>
  </si>
  <si>
    <t>블랙 265</t>
  </si>
  <si>
    <t>베이지 230</t>
  </si>
  <si>
    <t>베이지 235</t>
  </si>
  <si>
    <t>베이지 240</t>
  </si>
  <si>
    <t>베이지 245</t>
  </si>
  <si>
    <t>베이지 250</t>
  </si>
  <si>
    <t>베이지 255</t>
  </si>
  <si>
    <t>베이지 260</t>
  </si>
  <si>
    <t>베이지 265</t>
  </si>
  <si>
    <t>화이트 230</t>
  </si>
  <si>
    <t>화이트 235</t>
  </si>
  <si>
    <t>화이트 245</t>
  </si>
  <si>
    <t>화이트 250</t>
  </si>
  <si>
    <t>화이트 255</t>
  </si>
  <si>
    <t>화이트 260</t>
  </si>
  <si>
    <t>화이트 265</t>
  </si>
  <si>
    <t>29800</t>
  </si>
  <si>
    <t>가이아슈_N5-4</t>
  </si>
  <si>
    <t>가이아슈_N5-3</t>
  </si>
  <si>
    <t>가이아슈_4015</t>
  </si>
  <si>
    <t>가이아슈_30052</t>
  </si>
  <si>
    <t>가이아슈_5063_도리스</t>
  </si>
  <si>
    <t>가이아슈_6064</t>
  </si>
  <si>
    <t>the_5035_7050</t>
  </si>
  <si>
    <t>the_20070</t>
  </si>
  <si>
    <t>the_7069</t>
  </si>
  <si>
    <t>the_7068</t>
  </si>
  <si>
    <t>the_7012</t>
  </si>
  <si>
    <t>the_N2-1</t>
  </si>
  <si>
    <t>the_2202</t>
  </si>
  <si>
    <t>the_7066</t>
  </si>
  <si>
    <t>the_5043</t>
  </si>
  <si>
    <t>멜리사 5041</t>
  </si>
  <si>
    <t>여성 브이라인 스틸레토 뮬 블로퍼 7cm 7060</t>
  </si>
  <si>
    <t>가이아슈 여성용 스퀘어 페니 로퍼 힐 6cm 60052</t>
  </si>
  <si>
    <t>가이아슈 여성용 스트랩 뮬 블로퍼 3cm 30059</t>
  </si>
  <si>
    <t>가이아슈 골드 체인 로퍼 2cm 2211</t>
  </si>
  <si>
    <t>가이아슈 오플렌 데일리 로퍼 3cm 30046</t>
  </si>
  <si>
    <t>가이아슈 여성용 어도러블 금장 스틸레토 5cm 5042TC</t>
  </si>
  <si>
    <t>가이아슈 코아라 스틸레토 힐 5cm 5042</t>
  </si>
  <si>
    <t>케일 발목 찰싹 스판 빅사이즈 앵클부츠 (3cm/5cm)</t>
  </si>
  <si>
    <t>코아라 금장 스틸레토 힐 5cm</t>
  </si>
  <si>
    <t>블랙 225</t>
  </si>
  <si>
    <t>베이지 225</t>
  </si>
  <si>
    <t>225 블랙</t>
  </si>
  <si>
    <t>230 블랙</t>
  </si>
  <si>
    <t>235 블랙</t>
  </si>
  <si>
    <t>240 블랙</t>
  </si>
  <si>
    <t>245 블랙</t>
  </si>
  <si>
    <t>250 블랙</t>
  </si>
  <si>
    <t>260 블랙</t>
  </si>
  <si>
    <t>225 베이지</t>
  </si>
  <si>
    <t>230 베이지</t>
  </si>
  <si>
    <t>235 베이지</t>
  </si>
  <si>
    <t>255 베이지</t>
  </si>
  <si>
    <t>230 아이보리</t>
  </si>
  <si>
    <t>240 아이보리</t>
  </si>
  <si>
    <t>225 화이트</t>
  </si>
  <si>
    <t>235 화이트</t>
  </si>
  <si>
    <t>240 화이트</t>
  </si>
  <si>
    <t>245 화이트</t>
  </si>
  <si>
    <t>250 화이트</t>
  </si>
  <si>
    <t>265 화이트</t>
  </si>
  <si>
    <t>225 7cm 화이트</t>
  </si>
  <si>
    <t>225 블랙 에나멜</t>
  </si>
  <si>
    <t>230 블랙 에나멜</t>
  </si>
  <si>
    <t>235 핑크베이지</t>
  </si>
  <si>
    <t>255 블랙 에나멜</t>
  </si>
  <si>
    <t>블랙 TC 240</t>
  </si>
  <si>
    <t>블랙 TC 245</t>
  </si>
  <si>
    <t>235 블랙 3cm</t>
  </si>
  <si>
    <t>235 베이지 3cm</t>
  </si>
  <si>
    <t>235 블랙 5cm</t>
  </si>
  <si>
    <t>235 베이지 5cm</t>
  </si>
  <si>
    <t>240 블랙 3cm</t>
  </si>
  <si>
    <t>245 블랙 3cm</t>
  </si>
  <si>
    <t>245 블랙 5cm</t>
  </si>
  <si>
    <t>255 베이지 3cm</t>
  </si>
  <si>
    <t>255 블랙 스웨이드 3cm</t>
  </si>
  <si>
    <t>260 베이지 3cm</t>
  </si>
  <si>
    <t>260 베이지 5cm</t>
  </si>
  <si>
    <t>265 베이지 5cm</t>
  </si>
  <si>
    <t>32800</t>
  </si>
  <si>
    <t>34800</t>
  </si>
  <si>
    <t>31800</t>
  </si>
  <si>
    <t>32460</t>
  </si>
  <si>
    <t>34400</t>
  </si>
  <si>
    <t>32900</t>
  </si>
  <si>
    <t>35800</t>
  </si>
  <si>
    <t>33500</t>
  </si>
  <si>
    <t>32500</t>
  </si>
  <si>
    <t>25050</t>
  </si>
  <si>
    <t>25800</t>
  </si>
  <si>
    <t>28500</t>
  </si>
  <si>
    <t>30800</t>
  </si>
  <si>
    <t>23180</t>
  </si>
  <si>
    <t>27510</t>
  </si>
  <si>
    <t>32860</t>
  </si>
  <si>
    <t>27990</t>
  </si>
  <si>
    <t>27500</t>
  </si>
  <si>
    <t>6598010722</t>
  </si>
  <si>
    <t>6484387458</t>
  </si>
  <si>
    <t>6480712786</t>
  </si>
  <si>
    <t>6441486691</t>
  </si>
  <si>
    <t>6414958265</t>
  </si>
  <si>
    <t>6078359610</t>
  </si>
  <si>
    <t>5602262113</t>
  </si>
  <si>
    <t>5612729049</t>
  </si>
  <si>
    <t>5505017603</t>
  </si>
  <si>
    <t>5585493135</t>
  </si>
  <si>
    <t>5221648011</t>
  </si>
  <si>
    <t>5197541102</t>
  </si>
  <si>
    <t>5063508554</t>
  </si>
  <si>
    <t>5026378119</t>
  </si>
  <si>
    <t>5010610297</t>
  </si>
  <si>
    <t>4523403711</t>
  </si>
  <si>
    <t>4783446270</t>
  </si>
  <si>
    <t>4932912320</t>
  </si>
  <si>
    <t>4749186949</t>
  </si>
  <si>
    <t>4649565485</t>
  </si>
  <si>
    <t>4918978366</t>
  </si>
  <si>
    <t>4523396782</t>
  </si>
  <si>
    <t>2145153153</t>
  </si>
  <si>
    <t>2251179287</t>
  </si>
  <si>
    <t>13378783541</t>
  </si>
  <si>
    <t>13259820122</t>
  </si>
  <si>
    <t>13256107255</t>
  </si>
  <si>
    <t>13216154962</t>
  </si>
  <si>
    <t>13187683693</t>
  </si>
  <si>
    <t>12824978319</t>
  </si>
  <si>
    <t>12350554357</t>
  </si>
  <si>
    <t>12309431536</t>
  </si>
  <si>
    <t>12250132768</t>
  </si>
  <si>
    <t>12249110933</t>
  </si>
  <si>
    <t>11956448882</t>
  </si>
  <si>
    <t>11880085774</t>
  </si>
  <si>
    <t>11820818424</t>
  </si>
  <si>
    <t>11793343397</t>
  </si>
  <si>
    <t>11781908123</t>
  </si>
  <si>
    <t>11732132219</t>
  </si>
  <si>
    <t>11721480738</t>
  </si>
  <si>
    <t>11716105271</t>
  </si>
  <si>
    <t>11715708572</t>
  </si>
  <si>
    <t>11710744652</t>
  </si>
  <si>
    <t>11487361462</t>
  </si>
  <si>
    <t>11487025485</t>
  </si>
  <si>
    <t>11486818950</t>
  </si>
  <si>
    <t>11219037783</t>
  </si>
  <si>
    <t>11139204263</t>
  </si>
  <si>
    <t>82153204820</t>
  </si>
  <si>
    <t>82153204834</t>
  </si>
  <si>
    <t>81454076809</t>
  </si>
  <si>
    <t>81454076820</t>
  </si>
  <si>
    <t>81454076827</t>
  </si>
  <si>
    <t>81454076832</t>
  </si>
  <si>
    <t>81431838449</t>
  </si>
  <si>
    <t>81431838485</t>
  </si>
  <si>
    <t>81431838508</t>
  </si>
  <si>
    <t>81431838546</t>
  </si>
  <si>
    <t>81431838560</t>
  </si>
  <si>
    <t>81431838675</t>
  </si>
  <si>
    <t>81431838873</t>
  </si>
  <si>
    <t>81431838906</t>
  </si>
  <si>
    <t>81431838938</t>
  </si>
  <si>
    <t>81431838954</t>
  </si>
  <si>
    <t>81431838970</t>
  </si>
  <si>
    <t>81194873048</t>
  </si>
  <si>
    <t>81024991955</t>
  </si>
  <si>
    <t>81024991972</t>
  </si>
  <si>
    <t>81024991994</t>
  </si>
  <si>
    <t>81024992018</t>
  </si>
  <si>
    <t>81024992042</t>
  </si>
  <si>
    <t>81024992113</t>
  </si>
  <si>
    <t>81024992157</t>
  </si>
  <si>
    <t>78462277774</t>
  </si>
  <si>
    <t>76311118017</t>
  </si>
  <si>
    <t>76113315169</t>
  </si>
  <si>
    <t>75851275210</t>
  </si>
  <si>
    <t>75851275311</t>
  </si>
  <si>
    <t>75846569034</t>
  </si>
  <si>
    <t>75846569016</t>
  </si>
  <si>
    <t>75846569073</t>
  </si>
  <si>
    <t>75846568981</t>
  </si>
  <si>
    <t>74619326146</t>
  </si>
  <si>
    <t>74619326285</t>
  </si>
  <si>
    <t>74619326323</t>
  </si>
  <si>
    <t>74619326108</t>
  </si>
  <si>
    <t>74619326269</t>
  </si>
  <si>
    <t>74619326393</t>
  </si>
  <si>
    <t>74619326226</t>
  </si>
  <si>
    <t>74619326307</t>
  </si>
  <si>
    <t>74619326248</t>
  </si>
  <si>
    <t>74619326276</t>
  </si>
  <si>
    <t>74619326426</t>
  </si>
  <si>
    <t>74619326265</t>
  </si>
  <si>
    <t>74342734001</t>
  </si>
  <si>
    <t>74342733909</t>
  </si>
  <si>
    <t>74342733854</t>
  </si>
  <si>
    <t>74342735450</t>
  </si>
  <si>
    <t>74342735140</t>
  </si>
  <si>
    <t>74342733976</t>
  </si>
  <si>
    <t>74342735084</t>
  </si>
  <si>
    <t>74133166627</t>
  </si>
  <si>
    <t>74133166487</t>
  </si>
  <si>
    <t>74133166667</t>
  </si>
  <si>
    <t>74133166681</t>
  </si>
  <si>
    <t>74133166537</t>
  </si>
  <si>
    <t>74133166562</t>
  </si>
  <si>
    <t>74038920826</t>
  </si>
  <si>
    <t>74038920879</t>
  </si>
  <si>
    <t>74038920818</t>
  </si>
  <si>
    <t>74038920810</t>
  </si>
  <si>
    <t>74038920802</t>
  </si>
  <si>
    <t>74038920830</t>
  </si>
  <si>
    <t>74000823389</t>
  </si>
  <si>
    <t>74000823419</t>
  </si>
  <si>
    <t>73821525915</t>
  </si>
  <si>
    <t>73821526767</t>
  </si>
  <si>
    <t>73779171549</t>
  </si>
  <si>
    <t>73779171438</t>
  </si>
  <si>
    <t>73779171364</t>
  </si>
  <si>
    <t>73779171206</t>
  </si>
  <si>
    <t>73779171712</t>
  </si>
  <si>
    <t>73779171173</t>
  </si>
  <si>
    <t>73779171138</t>
  </si>
  <si>
    <t>73779171258</t>
  </si>
  <si>
    <t>73758149827</t>
  </si>
  <si>
    <t>73756546007</t>
  </si>
  <si>
    <t>73756545961</t>
  </si>
  <si>
    <t>73756546168</t>
  </si>
  <si>
    <t>73756546265</t>
  </si>
  <si>
    <t>73736606865</t>
  </si>
  <si>
    <t>72999741640</t>
  </si>
  <si>
    <t>72999741713</t>
  </si>
  <si>
    <t>72998653399</t>
  </si>
  <si>
    <t>72998653615</t>
  </si>
  <si>
    <t>72998653516</t>
  </si>
  <si>
    <t>72998653433</t>
  </si>
  <si>
    <t>72997888021</t>
  </si>
  <si>
    <t>72997888007</t>
  </si>
  <si>
    <t>71833257834</t>
  </si>
  <si>
    <t>71833257843</t>
  </si>
  <si>
    <t>71833257866</t>
  </si>
  <si>
    <t>71833257871</t>
  </si>
  <si>
    <t>71833257880</t>
  </si>
  <si>
    <t>71833257914</t>
  </si>
  <si>
    <t>71833257933</t>
  </si>
  <si>
    <t>71833258051</t>
  </si>
  <si>
    <t>71833258067</t>
  </si>
  <si>
    <t>71833258162</t>
  </si>
  <si>
    <t>71833258203</t>
  </si>
  <si>
    <t>71833258274</t>
  </si>
  <si>
    <t>71627987289</t>
  </si>
  <si>
    <t>71627987295</t>
  </si>
  <si>
    <t>2</t>
  </si>
  <si>
    <t>3</t>
  </si>
  <si>
    <t>4</t>
  </si>
  <si>
    <t>27</t>
  </si>
  <si>
    <t>5</t>
  </si>
  <si>
    <t>7</t>
  </si>
  <si>
    <t>6</t>
  </si>
  <si>
    <t>26</t>
  </si>
  <si>
    <t>8</t>
  </si>
  <si>
    <t>22</t>
  </si>
  <si>
    <t>9</t>
  </si>
  <si>
    <t>10</t>
  </si>
  <si>
    <t>21</t>
  </si>
  <si>
    <t>13</t>
  </si>
  <si>
    <t>15</t>
  </si>
  <si>
    <t>16</t>
  </si>
  <si>
    <t>19</t>
  </si>
  <si>
    <t>18</t>
  </si>
  <si>
    <t>여성블로퍼</t>
  </si>
  <si>
    <t>여성로퍼</t>
  </si>
  <si>
    <t>여성앵클부츠</t>
  </si>
  <si>
    <t>여성일반하이힐</t>
  </si>
  <si>
    <t>여성스트랩샌들</t>
  </si>
  <si>
    <t>R006697190026</t>
  </si>
  <si>
    <t>R006697190014</t>
  </si>
  <si>
    <t>R005555170005</t>
  </si>
  <si>
    <t>R005555170002</t>
  </si>
  <si>
    <t>S00000014568851041</t>
  </si>
  <si>
    <t>S00000014568850996</t>
  </si>
  <si>
    <t>S00000014568851046</t>
  </si>
  <si>
    <t>S00000014568850961</t>
  </si>
  <si>
    <t>S00000014568850973</t>
  </si>
  <si>
    <t>S00000014568851072</t>
  </si>
  <si>
    <t>S00000014417361575</t>
  </si>
  <si>
    <t>S00000014417361579</t>
  </si>
  <si>
    <t>S00000014460204578</t>
  </si>
  <si>
    <t>S00000014460204579</t>
  </si>
  <si>
    <t>S00000014460204597</t>
  </si>
  <si>
    <t>S00000014460204587</t>
  </si>
  <si>
    <t>S00000014460204582</t>
  </si>
  <si>
    <t>S00000014460204583</t>
  </si>
  <si>
    <t>S00000014136541987</t>
  </si>
  <si>
    <t>R007108880024</t>
  </si>
  <si>
    <t>R006938250022</t>
  </si>
  <si>
    <t>R006938250015</t>
  </si>
  <si>
    <t>R006938250013</t>
  </si>
  <si>
    <t>R006938250009</t>
  </si>
  <si>
    <t>R006696630010</t>
  </si>
  <si>
    <t>R006696630012</t>
  </si>
  <si>
    <t>R006696630015</t>
  </si>
  <si>
    <t>R006696630005</t>
  </si>
  <si>
    <t>R006696740003</t>
  </si>
  <si>
    <t>R006696740002</t>
  </si>
  <si>
    <t>S00000019193473227</t>
  </si>
  <si>
    <t>S00000014227843652</t>
  </si>
  <si>
    <t>S00000014227843654</t>
  </si>
  <si>
    <t>S00000014183009981</t>
  </si>
  <si>
    <t>S00000014183009987</t>
  </si>
  <si>
    <t>S00000014183009997</t>
  </si>
  <si>
    <t>S00000014183009978</t>
  </si>
  <si>
    <t>S00000014183009983</t>
  </si>
  <si>
    <t>S00000014183009989</t>
  </si>
  <si>
    <t>S00000014183009994</t>
  </si>
  <si>
    <t>S00000014183009998</t>
  </si>
  <si>
    <t>S00000012452623182</t>
  </si>
  <si>
    <t>S00000012452623185</t>
  </si>
  <si>
    <t>S00000012452623191</t>
  </si>
  <si>
    <t>S00000012452623197</t>
  </si>
  <si>
    <t>S00000012452623200</t>
  </si>
  <si>
    <t>S00000012452623218</t>
  </si>
  <si>
    <t>S00000012452623228</t>
  </si>
  <si>
    <t>S00000012452623267</t>
  </si>
  <si>
    <t>S00000012452623268</t>
  </si>
  <si>
    <t>S00000012452623274</t>
  </si>
  <si>
    <t>S00000012452623277</t>
  </si>
  <si>
    <t>S00000012452623283</t>
  </si>
  <si>
    <t>바코드 찍는곳</t>
    <phoneticPr fontId="7" type="noConversion"/>
  </si>
  <si>
    <t>바코드 중복제거</t>
    <phoneticPr fontId="7" type="noConversion"/>
  </si>
  <si>
    <t>입고 총 수량</t>
    <phoneticPr fontId="7" type="noConversion"/>
  </si>
  <si>
    <t/>
  </si>
  <si>
    <t>더_503_셀레나</t>
  </si>
  <si>
    <t>7939036518</t>
  </si>
  <si>
    <t>14751598938</t>
  </si>
  <si>
    <t>88990908012</t>
  </si>
  <si>
    <t>88990907904</t>
  </si>
  <si>
    <t>88990908058</t>
  </si>
  <si>
    <t>더_220_클레어</t>
  </si>
  <si>
    <t>8039875753</t>
  </si>
  <si>
    <t>14848954928</t>
  </si>
  <si>
    <t>89563296719</t>
  </si>
  <si>
    <t>더_303</t>
  </si>
  <si>
    <t>8863931332</t>
  </si>
  <si>
    <t>15610792568</t>
  </si>
  <si>
    <t>92837033400</t>
  </si>
  <si>
    <t>92837033677</t>
  </si>
  <si>
    <t>92837033368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</si>
</sst>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"/>
    <numFmt numFmtId="177" formatCode="#,###.##"/>
    <numFmt numFmtId="178" formatCode="yyyy\-mm\-dd"/>
    <numFmt numFmtId="179" formatCode="0_);[Red]\(0\)"/>
    <numFmt numFmtId="180" formatCode="0;[Red]0"/>
  </numFmts>
  <fonts count="1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8"/>
      <name val="나눔고딕"/>
      <family val="3"/>
      <charset val="129"/>
    </font>
    <font>
      <b/>
      <sz val="12"/>
      <color indexed="8"/>
      <name val="나눔고딕"/>
      <family val="3"/>
      <charset val="129"/>
    </font>
    <font>
      <b/>
      <sz val="18"/>
      <color indexed="9"/>
      <name val="나눔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8"/>
      <name val="나눔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12"/>
      <color indexed="8"/>
      <name val="나눔고딕"/>
      <charset val="129"/>
    </font>
    <font>
      <sz val="12"/>
      <color rgb="FF000000"/>
      <name val="나눔고딕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indexed="10"/>
      </patternFill>
    </fill>
    <fill>
      <patternFill patternType="solid">
        <fgColor indexed="52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7EEF9"/>
      </patternFill>
    </fill>
    <fill>
      <patternFill patternType="none"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indexed="8"/>
      </top>
      <bottom/>
      <diagonal/>
    </border>
  </borders>
  <cellStyleXfs count="11">
    <xf numFmtId="0" fontId="0" fillId="0" borderId="0">
      <alignment vertical="center"/>
    </xf>
    <xf numFmtId="0" fontId="1" fillId="10" borderId="1">
      <alignment vertical="center"/>
    </xf>
    <xf numFmtId="0" fontId="8" fillId="10" borderId="1"/>
    <xf numFmtId="0" fontId="10" fillId="10" borderId="1">
      <alignment vertical="center"/>
    </xf>
    <xf numFmtId="0" fontId="10" fillId="10" borderId="1">
      <alignment vertical="center"/>
    </xf>
    <xf numFmtId="0" fontId="10" fillId="10" borderId="1">
      <alignment vertical="center"/>
    </xf>
    <xf numFmtId="0" fontId="10" fillId="10" borderId="1">
      <alignment vertical="center"/>
    </xf>
    <xf numFmtId="0" fontId="10" fillId="10" borderId="1">
      <alignment vertical="center"/>
    </xf>
    <xf numFmtId="0" fontId="10" fillId="10" borderId="1">
      <alignment vertical="center"/>
    </xf>
    <xf numFmtId="0" fontId="10" fillId="10" borderId="1">
      <alignment vertical="center"/>
    </xf>
    <xf numFmtId="0" fontId="10" fillId="10" borderId="1">
      <alignment vertical="center"/>
    </xf>
  </cellStyleXfs>
  <cellXfs count="49">
    <xf numFmtId="0" fontId="0" fillId="0" borderId="0" xfId="0">
      <alignment vertical="center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180" fontId="12" fillId="0" borderId="0" xfId="0" applyNumberFormat="1" applyFont="1">
      <alignment vertical="center"/>
    </xf>
    <xf numFmtId="180" fontId="12" fillId="0" borderId="0" xfId="0" applyNumberFormat="1" applyFont="1" applyAlignment="1">
      <alignment horizontal="center" vertical="center"/>
    </xf>
    <xf numFmtId="0" fontId="12" fillId="0" borderId="1" xfId="0" applyFont="1" applyBorder="1">
      <alignment vertical="center"/>
    </xf>
    <xf numFmtId="180" fontId="9" fillId="11" borderId="5" xfId="0" applyNumberFormat="1" applyFont="1" applyFill="1" applyBorder="1">
      <alignment vertical="center"/>
    </xf>
    <xf numFmtId="0" fontId="9" fillId="11" borderId="5" xfId="0" applyFont="1" applyFill="1" applyBorder="1">
      <alignment vertical="center"/>
    </xf>
    <xf numFmtId="0" fontId="13" fillId="0" borderId="5" xfId="0" applyFont="1" applyBorder="1" applyAlignment="1">
      <alignment horizontal="center" vertical="center" wrapText="1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3" fillId="0" borderId="5" xfId="5" applyFont="1" applyFill="1" applyBorder="1" applyAlignment="1">
      <alignment horizontal="center" vertical="center" wrapText="1"/>
    </xf>
    <xf numFmtId="176" fontId="13" fillId="0" borderId="5" xfId="5" applyNumberFormat="1" applyFont="1" applyFill="1" applyBorder="1" applyAlignment="1">
      <alignment horizontal="center" vertical="center" wrapText="1"/>
    </xf>
    <xf numFmtId="0" fontId="13" fillId="0" borderId="5" xfId="6" applyFont="1" applyFill="1" applyBorder="1" applyAlignment="1" applyProtection="1">
      <alignment horizontal="center" vertical="center" wrapText="1"/>
      <protection locked="0"/>
    </xf>
    <xf numFmtId="178" fontId="13" fillId="0" borderId="5" xfId="6" applyNumberFormat="1" applyFont="1" applyFill="1" applyBorder="1" applyAlignment="1" applyProtection="1">
      <alignment horizontal="center" vertical="center" wrapText="1"/>
      <protection locked="0"/>
    </xf>
    <xf numFmtId="179" fontId="13" fillId="0" borderId="5" xfId="6" applyNumberFormat="1" applyFont="1" applyFill="1" applyBorder="1" applyAlignment="1" applyProtection="1">
      <alignment horizontal="center" vertical="center" wrapText="1"/>
      <protection locked="0"/>
    </xf>
    <xf numFmtId="176" fontId="13" fillId="0" borderId="5" xfId="6" applyNumberFormat="1" applyFont="1" applyFill="1" applyBorder="1" applyAlignment="1">
      <alignment horizontal="center" vertical="center" wrapText="1"/>
    </xf>
    <xf numFmtId="0" fontId="13" fillId="0" borderId="5" xfId="6" applyFont="1" applyFill="1" applyBorder="1" applyAlignment="1">
      <alignment horizontal="center" vertical="center" wrapText="1"/>
    </xf>
    <xf numFmtId="177" fontId="13" fillId="0" borderId="5" xfId="0" applyNumberFormat="1" applyFont="1" applyBorder="1" applyAlignment="1">
      <alignment horizontal="center" vertical="center" wrapText="1"/>
    </xf>
    <xf numFmtId="177" fontId="13" fillId="0" borderId="5" xfId="0" applyNumberFormat="1" applyFont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178" fontId="13" fillId="0" borderId="5" xfId="0" applyNumberFormat="1" applyFont="1" applyBorder="1" applyAlignment="1" applyProtection="1">
      <alignment horizontal="center" vertical="center" wrapText="1"/>
      <protection locked="0"/>
    </xf>
    <xf numFmtId="179" fontId="13" fillId="0" borderId="5" xfId="0" applyNumberFormat="1" applyFont="1" applyBorder="1" applyAlignment="1" applyProtection="1">
      <alignment horizontal="center" vertical="center" wrapText="1"/>
      <protection locked="0"/>
    </xf>
    <xf numFmtId="176" fontId="13" fillId="0" borderId="5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>
      <alignment horizontal="center" vertical="center" wrapText="1"/>
    </xf>
    <xf numFmtId="179" fontId="6" fillId="0" borderId="1" xfId="0" applyNumberFormat="1" applyFont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10" borderId="3" xfId="0" applyFill="1" applyBorder="1" applyAlignment="1"/>
    <xf numFmtId="0" fontId="0" fillId="10" borderId="4" xfId="0" applyFill="1" applyBorder="1" applyAlignment="1"/>
    <xf numFmtId="0" fontId="4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</cellXfs>
  <cellStyles count="11">
    <cellStyle name="표준" xfId="0" builtinId="0"/>
    <cellStyle name="표준 10" xfId="9" xr:uid="{00000000-0005-0000-0000-000001000000}"/>
    <cellStyle name="표준 11" xfId="10" xr:uid="{00000000-0005-0000-0000-000002000000}"/>
    <cellStyle name="표준 2" xfId="2" xr:uid="{00000000-0005-0000-0000-000003000000}"/>
    <cellStyle name="표준 3" xfId="1" xr:uid="{00000000-0005-0000-0000-000004000000}"/>
    <cellStyle name="표준 4" xfId="3" xr:uid="{00000000-0005-0000-0000-000005000000}"/>
    <cellStyle name="표준 5" xfId="4" xr:uid="{00000000-0005-0000-0000-000006000000}"/>
    <cellStyle name="표준 6" xfId="5" xr:uid="{00000000-0005-0000-0000-000007000000}"/>
    <cellStyle name="표준 7" xfId="6" xr:uid="{00000000-0005-0000-0000-000008000000}"/>
    <cellStyle name="표준 8" xfId="7" xr:uid="{00000000-0005-0000-0000-000009000000}"/>
    <cellStyle name="표준 9" xfId="8" xr:uid="{00000000-0005-0000-0000-00000A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ing.coupang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6"/>
  <sheetViews>
    <sheetView tabSelected="1" workbookViewId="0">
      <pane xSplit="3" ySplit="4" topLeftCell="D110" activePane="bottomRight" state="frozen"/>
      <selection pane="topRight"/>
      <selection pane="bottomLeft"/>
      <selection pane="bottomRight" activeCell="V3" sqref="V1:V1048576"/>
    </sheetView>
  </sheetViews>
  <sheetFormatPr defaultColWidth="16" defaultRowHeight="24.95" customHeight="1" x14ac:dyDescent="0.3"/>
  <cols>
    <col min="2" max="2" width="38.125" customWidth="1"/>
    <col min="9" max="21" width="0" hidden="1" customWidth="1"/>
    <col min="23" max="23" width="0" hidden="1" customWidth="1"/>
    <col min="28" max="28" width="25" style="4" customWidth="1"/>
    <col min="36" max="39" width="0" hidden="1" customWidth="1"/>
    <col min="40" max="40" width="18.5" customWidth="1"/>
  </cols>
  <sheetData>
    <row r="1" spans="1:42" ht="0" hidden="1" customHeight="1" x14ac:dyDescent="0.3">
      <c r="D1" s="40" t="s">
        <v>0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2"/>
      <c r="V1" s="43" t="s">
        <v>1</v>
      </c>
      <c r="W1" s="41"/>
      <c r="X1" s="41"/>
      <c r="Y1" s="41"/>
      <c r="Z1" s="41"/>
      <c r="AA1" s="41"/>
      <c r="AB1" s="42"/>
      <c r="AC1" s="44" t="s">
        <v>2</v>
      </c>
      <c r="AD1" s="42"/>
      <c r="AE1" s="45" t="s">
        <v>3</v>
      </c>
      <c r="AF1" s="41"/>
      <c r="AG1" s="41"/>
      <c r="AH1" s="41"/>
      <c r="AI1" s="42"/>
    </row>
    <row r="2" spans="1:42" ht="60" customHeight="1" x14ac:dyDescent="0.3">
      <c r="A2" s="2" t="s">
        <v>4</v>
      </c>
      <c r="B2" s="46" t="s">
        <v>5</v>
      </c>
      <c r="C2" s="42"/>
      <c r="D2" s="2" t="s">
        <v>6</v>
      </c>
      <c r="E2" s="46" t="s">
        <v>7</v>
      </c>
      <c r="F2" s="41"/>
      <c r="G2" s="41"/>
      <c r="H2" s="42"/>
      <c r="I2" s="46" t="s">
        <v>8</v>
      </c>
      <c r="J2" s="41"/>
      <c r="K2" s="41"/>
      <c r="L2" s="41"/>
      <c r="M2" s="41"/>
      <c r="N2" s="41"/>
      <c r="O2" s="41"/>
      <c r="P2" s="42"/>
      <c r="Q2" s="46" t="s">
        <v>9</v>
      </c>
      <c r="R2" s="41"/>
      <c r="S2" s="41"/>
      <c r="T2" s="41"/>
      <c r="U2" s="42"/>
      <c r="V2" s="47" t="s">
        <v>10</v>
      </c>
      <c r="W2" s="42"/>
      <c r="X2" s="47" t="s">
        <v>11</v>
      </c>
      <c r="Y2" s="41"/>
      <c r="Z2" s="41"/>
      <c r="AA2" s="42"/>
      <c r="AB2" s="47" t="s">
        <v>12</v>
      </c>
      <c r="AC2" s="41"/>
      <c r="AD2" s="42"/>
      <c r="AE2" s="46" t="s">
        <v>13</v>
      </c>
      <c r="AF2" s="41"/>
      <c r="AG2" s="41"/>
      <c r="AH2" s="41"/>
      <c r="AI2" s="42"/>
    </row>
    <row r="3" spans="1:42" s="30" customFormat="1" ht="60" customHeight="1" x14ac:dyDescent="0.3">
      <c r="A3" s="35" t="s">
        <v>14</v>
      </c>
      <c r="B3" s="35" t="s">
        <v>15</v>
      </c>
      <c r="C3" s="35" t="s">
        <v>16</v>
      </c>
      <c r="D3" s="35" t="s">
        <v>6</v>
      </c>
      <c r="E3" s="35" t="s">
        <v>17</v>
      </c>
      <c r="F3" s="35" t="s">
        <v>18</v>
      </c>
      <c r="G3" s="35" t="s">
        <v>19</v>
      </c>
      <c r="H3" s="35" t="s">
        <v>20</v>
      </c>
      <c r="I3" s="35" t="s">
        <v>21</v>
      </c>
      <c r="J3" s="35" t="s">
        <v>22</v>
      </c>
      <c r="K3" s="35" t="s">
        <v>23</v>
      </c>
      <c r="L3" s="35" t="s">
        <v>24</v>
      </c>
      <c r="M3" s="35" t="s">
        <v>25</v>
      </c>
      <c r="N3" s="35" t="s">
        <v>26</v>
      </c>
      <c r="O3" s="35" t="s">
        <v>27</v>
      </c>
      <c r="P3" s="35" t="s">
        <v>28</v>
      </c>
      <c r="Q3" s="35" t="s">
        <v>29</v>
      </c>
      <c r="R3" s="35" t="s">
        <v>30</v>
      </c>
      <c r="S3" s="35" t="s">
        <v>31</v>
      </c>
      <c r="T3" s="35" t="s">
        <v>32</v>
      </c>
      <c r="U3" s="35" t="s">
        <v>33</v>
      </c>
      <c r="V3" s="36" t="s">
        <v>34</v>
      </c>
      <c r="W3" s="37" t="s">
        <v>35</v>
      </c>
      <c r="X3" s="36" t="s">
        <v>36</v>
      </c>
      <c r="Y3" s="37" t="s">
        <v>37</v>
      </c>
      <c r="Z3" s="36" t="s">
        <v>38</v>
      </c>
      <c r="AA3" s="36" t="s">
        <v>39</v>
      </c>
      <c r="AB3" s="36" t="s">
        <v>40</v>
      </c>
      <c r="AC3" s="36" t="s">
        <v>41</v>
      </c>
      <c r="AD3" s="36" t="s">
        <v>42</v>
      </c>
      <c r="AE3" s="35" t="s">
        <v>43</v>
      </c>
      <c r="AF3" s="35" t="s">
        <v>44</v>
      </c>
      <c r="AG3" s="35" t="s">
        <v>45</v>
      </c>
      <c r="AH3" s="35" t="s">
        <v>46</v>
      </c>
      <c r="AI3" s="38" t="s">
        <v>47</v>
      </c>
      <c r="AJ3" s="1" t="s">
        <v>48</v>
      </c>
      <c r="AK3" s="1" t="s">
        <v>49</v>
      </c>
      <c r="AL3" s="1" t="s">
        <v>50</v>
      </c>
      <c r="AM3" s="1" t="s">
        <v>51</v>
      </c>
    </row>
    <row r="4" spans="1:42" s="30" customFormat="1" ht="120" x14ac:dyDescent="0.3">
      <c r="A4" s="39" t="s">
        <v>52</v>
      </c>
      <c r="B4" s="39" t="s">
        <v>53</v>
      </c>
      <c r="C4" s="39" t="s">
        <v>54</v>
      </c>
      <c r="D4" s="39" t="s">
        <v>55</v>
      </c>
      <c r="E4" s="39" t="s">
        <v>56</v>
      </c>
      <c r="F4" s="39" t="s">
        <v>57</v>
      </c>
      <c r="G4" s="39" t="s">
        <v>58</v>
      </c>
      <c r="H4" s="39" t="s">
        <v>59</v>
      </c>
      <c r="I4" s="39" t="s">
        <v>60</v>
      </c>
      <c r="J4" s="39" t="s">
        <v>60</v>
      </c>
      <c r="K4" s="39" t="s">
        <v>60</v>
      </c>
      <c r="L4" s="39" t="s">
        <v>60</v>
      </c>
      <c r="M4" s="39" t="s">
        <v>60</v>
      </c>
      <c r="N4" s="39" t="s">
        <v>60</v>
      </c>
      <c r="O4" s="39" t="s">
        <v>61</v>
      </c>
      <c r="P4" s="39" t="s">
        <v>62</v>
      </c>
      <c r="Q4" s="39"/>
      <c r="R4" s="39" t="s">
        <v>63</v>
      </c>
      <c r="S4" s="39" t="s">
        <v>64</v>
      </c>
      <c r="T4" s="39"/>
      <c r="U4" s="39"/>
      <c r="V4" s="39" t="s">
        <v>65</v>
      </c>
      <c r="W4" s="39" t="s">
        <v>66</v>
      </c>
      <c r="X4" s="39" t="s">
        <v>67</v>
      </c>
      <c r="Y4" s="39" t="s">
        <v>68</v>
      </c>
      <c r="Z4" s="39" t="s">
        <v>68</v>
      </c>
      <c r="AA4" s="39" t="s">
        <v>68</v>
      </c>
      <c r="AB4" s="39" t="s">
        <v>69</v>
      </c>
      <c r="AC4" s="39" t="s">
        <v>70</v>
      </c>
      <c r="AD4" s="39" t="s">
        <v>71</v>
      </c>
      <c r="AE4" s="39"/>
      <c r="AF4" s="39"/>
      <c r="AG4" s="39"/>
      <c r="AH4" s="39"/>
      <c r="AI4" s="39"/>
      <c r="AJ4" s="3"/>
      <c r="AK4" s="3"/>
      <c r="AL4" s="3"/>
      <c r="AM4" s="3"/>
    </row>
    <row r="5" spans="1:42" ht="24.95" customHeight="1" x14ac:dyDescent="0.3">
      <c r="A5" s="11">
        <v>275</v>
      </c>
      <c r="B5" s="11" t="s">
        <v>107</v>
      </c>
      <c r="C5" s="11" t="s">
        <v>86</v>
      </c>
      <c r="D5" s="11" t="s">
        <v>174</v>
      </c>
      <c r="E5" s="11" t="s">
        <v>190</v>
      </c>
      <c r="F5" s="11" t="s">
        <v>214</v>
      </c>
      <c r="G5" s="11" t="s">
        <v>239</v>
      </c>
      <c r="H5" s="11" t="s">
        <v>74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12">
        <f>VLOOKUP(AB5,바코드찍는곳!B:C,2,0)</f>
        <v>1</v>
      </c>
      <c r="W5" s="21"/>
      <c r="X5" s="22"/>
      <c r="Y5" s="23" t="s">
        <v>75</v>
      </c>
      <c r="Z5" s="23" t="s">
        <v>75</v>
      </c>
      <c r="AA5" s="23" t="s">
        <v>75</v>
      </c>
      <c r="AB5" s="24">
        <v>8809848765834</v>
      </c>
      <c r="AC5" s="22" t="s">
        <v>81</v>
      </c>
      <c r="AD5" s="22" t="s">
        <v>76</v>
      </c>
      <c r="AE5" s="25" t="s">
        <v>355</v>
      </c>
      <c r="AF5" s="11"/>
      <c r="AG5" s="11" t="s">
        <v>365</v>
      </c>
      <c r="AH5" s="11" t="s">
        <v>79</v>
      </c>
      <c r="AI5" s="11" t="s">
        <v>80</v>
      </c>
      <c r="AJ5" s="27"/>
      <c r="AK5" s="27"/>
      <c r="AL5" s="27"/>
      <c r="AM5" s="32"/>
      <c r="AN5" s="33"/>
      <c r="AO5" s="34"/>
      <c r="AP5" s="31"/>
    </row>
    <row r="6" spans="1:42" ht="24.95" customHeight="1" x14ac:dyDescent="0.3">
      <c r="A6" s="11">
        <v>276</v>
      </c>
      <c r="B6" s="11" t="s">
        <v>107</v>
      </c>
      <c r="C6" s="11" t="s">
        <v>87</v>
      </c>
      <c r="D6" s="11" t="s">
        <v>174</v>
      </c>
      <c r="E6" s="11" t="s">
        <v>190</v>
      </c>
      <c r="F6" s="11" t="s">
        <v>214</v>
      </c>
      <c r="G6" s="11" t="s">
        <v>240</v>
      </c>
      <c r="H6" s="11" t="s">
        <v>74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12">
        <f>VLOOKUP(AB6,바코드찍는곳!B:C,2,0)</f>
        <v>2</v>
      </c>
      <c r="W6" s="21"/>
      <c r="X6" s="22"/>
      <c r="Y6" s="23" t="s">
        <v>75</v>
      </c>
      <c r="Z6" s="23" t="s">
        <v>75</v>
      </c>
      <c r="AA6" s="23" t="s">
        <v>75</v>
      </c>
      <c r="AB6" s="24">
        <v>8809848765841</v>
      </c>
      <c r="AC6" s="22" t="s">
        <v>81</v>
      </c>
      <c r="AD6" s="22" t="s">
        <v>76</v>
      </c>
      <c r="AE6" s="25" t="s">
        <v>354</v>
      </c>
      <c r="AF6" s="11"/>
      <c r="AG6" s="11" t="s">
        <v>365</v>
      </c>
      <c r="AH6" s="11" t="s">
        <v>79</v>
      </c>
      <c r="AI6" s="11" t="s">
        <v>80</v>
      </c>
      <c r="AJ6" s="27"/>
      <c r="AK6" s="27"/>
      <c r="AL6" s="27"/>
      <c r="AM6" s="32"/>
      <c r="AN6" s="33"/>
      <c r="AO6" s="34"/>
      <c r="AP6" s="31"/>
    </row>
    <row r="7" spans="1:42" ht="24.95" customHeight="1" x14ac:dyDescent="0.3">
      <c r="A7" s="11">
        <v>403</v>
      </c>
      <c r="B7" s="11" t="s">
        <v>108</v>
      </c>
      <c r="C7" s="11" t="s">
        <v>84</v>
      </c>
      <c r="D7" s="11" t="s">
        <v>175</v>
      </c>
      <c r="E7" s="11" t="s">
        <v>191</v>
      </c>
      <c r="F7" s="11" t="s">
        <v>215</v>
      </c>
      <c r="G7" s="11" t="s">
        <v>241</v>
      </c>
      <c r="H7" s="11" t="s">
        <v>74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12">
        <f>VLOOKUP(AB7,바코드찍는곳!B:C,2,0)</f>
        <v>4</v>
      </c>
      <c r="W7" s="21"/>
      <c r="X7" s="22"/>
      <c r="Y7" s="23" t="s">
        <v>75</v>
      </c>
      <c r="Z7" s="23" t="s">
        <v>75</v>
      </c>
      <c r="AA7" s="23" t="s">
        <v>75</v>
      </c>
      <c r="AB7" s="24">
        <v>8809848764134</v>
      </c>
      <c r="AC7" s="22" t="s">
        <v>81</v>
      </c>
      <c r="AD7" s="22" t="s">
        <v>76</v>
      </c>
      <c r="AE7" s="25" t="s">
        <v>345</v>
      </c>
      <c r="AF7" s="11"/>
      <c r="AG7" s="11" t="s">
        <v>365</v>
      </c>
      <c r="AH7" s="11" t="s">
        <v>79</v>
      </c>
      <c r="AI7" s="11" t="s">
        <v>80</v>
      </c>
      <c r="AJ7" s="27"/>
      <c r="AK7" s="27"/>
      <c r="AL7" s="27"/>
      <c r="AM7" s="32"/>
      <c r="AN7" s="33"/>
      <c r="AO7" s="34"/>
      <c r="AP7" s="31"/>
    </row>
    <row r="8" spans="1:42" ht="24.95" customHeight="1" x14ac:dyDescent="0.3">
      <c r="A8" s="11">
        <v>406</v>
      </c>
      <c r="B8" s="11" t="s">
        <v>108</v>
      </c>
      <c r="C8" s="11" t="s">
        <v>87</v>
      </c>
      <c r="D8" s="11" t="s">
        <v>175</v>
      </c>
      <c r="E8" s="11" t="s">
        <v>191</v>
      </c>
      <c r="F8" s="11" t="s">
        <v>215</v>
      </c>
      <c r="G8" s="11" t="s">
        <v>242</v>
      </c>
      <c r="H8" s="11" t="s">
        <v>74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12">
        <f>VLOOKUP(AB8,바코드찍는곳!B:C,2,0)</f>
        <v>1</v>
      </c>
      <c r="W8" s="21"/>
      <c r="X8" s="22"/>
      <c r="Y8" s="23" t="s">
        <v>75</v>
      </c>
      <c r="Z8" s="23" t="s">
        <v>75</v>
      </c>
      <c r="AA8" s="23" t="s">
        <v>75</v>
      </c>
      <c r="AB8" s="24">
        <v>8809848764165</v>
      </c>
      <c r="AC8" s="22" t="s">
        <v>81</v>
      </c>
      <c r="AD8" s="22" t="s">
        <v>76</v>
      </c>
      <c r="AE8" s="25" t="s">
        <v>348</v>
      </c>
      <c r="AF8" s="11"/>
      <c r="AG8" s="11" t="s">
        <v>365</v>
      </c>
      <c r="AH8" s="11" t="s">
        <v>79</v>
      </c>
      <c r="AI8" s="11" t="s">
        <v>80</v>
      </c>
      <c r="AJ8" s="27"/>
      <c r="AK8" s="27"/>
      <c r="AL8" s="27"/>
      <c r="AM8" s="32"/>
      <c r="AN8" s="33"/>
      <c r="AO8" s="34"/>
      <c r="AP8" s="31"/>
    </row>
    <row r="9" spans="1:42" ht="24.95" customHeight="1" x14ac:dyDescent="0.3">
      <c r="A9" s="11">
        <v>408</v>
      </c>
      <c r="B9" s="11" t="s">
        <v>108</v>
      </c>
      <c r="C9" s="11" t="s">
        <v>89</v>
      </c>
      <c r="D9" s="11" t="s">
        <v>175</v>
      </c>
      <c r="E9" s="11" t="s">
        <v>191</v>
      </c>
      <c r="F9" s="11" t="s">
        <v>215</v>
      </c>
      <c r="G9" s="11" t="s">
        <v>243</v>
      </c>
      <c r="H9" s="11" t="s">
        <v>74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12">
        <f>VLOOKUP(AB9,바코드찍는곳!B:C,2,0)</f>
        <v>5</v>
      </c>
      <c r="W9" s="21"/>
      <c r="X9" s="22"/>
      <c r="Y9" s="23" t="s">
        <v>75</v>
      </c>
      <c r="Z9" s="23" t="s">
        <v>75</v>
      </c>
      <c r="AA9" s="23" t="s">
        <v>75</v>
      </c>
      <c r="AB9" s="24">
        <v>8809848764189</v>
      </c>
      <c r="AC9" s="22" t="s">
        <v>81</v>
      </c>
      <c r="AD9" s="22" t="s">
        <v>76</v>
      </c>
      <c r="AE9" s="25" t="s">
        <v>77</v>
      </c>
      <c r="AF9" s="11"/>
      <c r="AG9" s="11" t="s">
        <v>365</v>
      </c>
      <c r="AH9" s="11" t="s">
        <v>79</v>
      </c>
      <c r="AI9" s="11" t="s">
        <v>80</v>
      </c>
      <c r="AJ9" s="27"/>
      <c r="AK9" s="27"/>
      <c r="AL9" s="27"/>
      <c r="AM9" s="32"/>
      <c r="AN9" s="33"/>
      <c r="AO9" s="34"/>
      <c r="AP9" s="31"/>
    </row>
    <row r="10" spans="1:42" ht="24.95" customHeight="1" x14ac:dyDescent="0.3">
      <c r="A10" s="11">
        <v>409</v>
      </c>
      <c r="B10" s="11" t="s">
        <v>108</v>
      </c>
      <c r="C10" s="11" t="s">
        <v>90</v>
      </c>
      <c r="D10" s="11" t="s">
        <v>175</v>
      </c>
      <c r="E10" s="11" t="s">
        <v>191</v>
      </c>
      <c r="F10" s="11" t="s">
        <v>215</v>
      </c>
      <c r="G10" s="11" t="s">
        <v>244</v>
      </c>
      <c r="H10" s="11" t="s">
        <v>74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12">
        <f>VLOOKUP(AB10,바코드찍는곳!B:C,2,0)</f>
        <v>3</v>
      </c>
      <c r="W10" s="21"/>
      <c r="X10" s="22"/>
      <c r="Y10" s="23" t="s">
        <v>75</v>
      </c>
      <c r="Z10" s="23" t="s">
        <v>75</v>
      </c>
      <c r="AA10" s="23" t="s">
        <v>75</v>
      </c>
      <c r="AB10" s="24">
        <v>8809848764196</v>
      </c>
      <c r="AC10" s="22" t="s">
        <v>81</v>
      </c>
      <c r="AD10" s="22" t="s">
        <v>76</v>
      </c>
      <c r="AE10" s="25" t="s">
        <v>346</v>
      </c>
      <c r="AF10" s="11"/>
      <c r="AG10" s="11" t="s">
        <v>365</v>
      </c>
      <c r="AH10" s="11" t="s">
        <v>79</v>
      </c>
      <c r="AI10" s="11" t="s">
        <v>80</v>
      </c>
      <c r="AJ10" s="27"/>
      <c r="AK10" s="27"/>
      <c r="AL10" s="27"/>
      <c r="AM10" s="32"/>
      <c r="AN10" s="33"/>
      <c r="AO10" s="34"/>
      <c r="AP10" s="31"/>
    </row>
    <row r="11" spans="1:42" ht="24.95" customHeight="1" x14ac:dyDescent="0.3">
      <c r="A11" s="11">
        <v>429</v>
      </c>
      <c r="B11" s="11" t="s">
        <v>109</v>
      </c>
      <c r="C11" s="11" t="s">
        <v>73</v>
      </c>
      <c r="D11" s="11" t="s">
        <v>176</v>
      </c>
      <c r="E11" s="11" t="s">
        <v>192</v>
      </c>
      <c r="F11" s="11" t="s">
        <v>216</v>
      </c>
      <c r="G11" s="11" t="s">
        <v>245</v>
      </c>
      <c r="H11" s="11" t="s">
        <v>74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12">
        <f>VLOOKUP(AB11,바코드찍는곳!B:C,2,0)</f>
        <v>1</v>
      </c>
      <c r="W11" s="21"/>
      <c r="X11" s="22"/>
      <c r="Y11" s="23" t="s">
        <v>75</v>
      </c>
      <c r="Z11" s="23" t="s">
        <v>75</v>
      </c>
      <c r="AA11" s="23" t="s">
        <v>75</v>
      </c>
      <c r="AB11" s="24">
        <v>8809848761812</v>
      </c>
      <c r="AC11" s="22" t="s">
        <v>81</v>
      </c>
      <c r="AD11" s="22" t="s">
        <v>76</v>
      </c>
      <c r="AE11" s="25" t="s">
        <v>349</v>
      </c>
      <c r="AF11" s="11"/>
      <c r="AG11" s="11" t="s">
        <v>365</v>
      </c>
      <c r="AH11" s="11" t="s">
        <v>79</v>
      </c>
      <c r="AI11" s="11" t="s">
        <v>80</v>
      </c>
      <c r="AJ11" s="27"/>
      <c r="AK11" s="27"/>
      <c r="AL11" s="27"/>
      <c r="AM11" s="32"/>
      <c r="AN11" s="33"/>
      <c r="AO11" s="34"/>
      <c r="AP11" s="31"/>
    </row>
    <row r="12" spans="1:42" ht="24.95" customHeight="1" x14ac:dyDescent="0.3">
      <c r="A12" s="11">
        <v>432</v>
      </c>
      <c r="B12" s="11" t="s">
        <v>109</v>
      </c>
      <c r="C12" s="11" t="s">
        <v>86</v>
      </c>
      <c r="D12" s="11" t="s">
        <v>176</v>
      </c>
      <c r="E12" s="11" t="s">
        <v>192</v>
      </c>
      <c r="F12" s="11" t="s">
        <v>216</v>
      </c>
      <c r="G12" s="11" t="s">
        <v>246</v>
      </c>
      <c r="H12" s="11" t="s">
        <v>74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12">
        <f>VLOOKUP(AB12,바코드찍는곳!B:C,2,0)</f>
        <v>7</v>
      </c>
      <c r="W12" s="21"/>
      <c r="X12" s="22"/>
      <c r="Y12" s="23" t="s">
        <v>75</v>
      </c>
      <c r="Z12" s="23" t="s">
        <v>75</v>
      </c>
      <c r="AA12" s="23" t="s">
        <v>75</v>
      </c>
      <c r="AB12" s="24">
        <v>8809848761843</v>
      </c>
      <c r="AC12" s="22" t="s">
        <v>81</v>
      </c>
      <c r="AD12" s="22" t="s">
        <v>76</v>
      </c>
      <c r="AE12" s="25" t="s">
        <v>359</v>
      </c>
      <c r="AF12" s="11"/>
      <c r="AG12" s="11" t="s">
        <v>365</v>
      </c>
      <c r="AH12" s="11" t="s">
        <v>79</v>
      </c>
      <c r="AI12" s="11" t="s">
        <v>80</v>
      </c>
      <c r="AJ12" s="27"/>
      <c r="AK12" s="27"/>
      <c r="AL12" s="27"/>
      <c r="AM12" s="32"/>
      <c r="AN12" s="33"/>
      <c r="AO12" s="34"/>
      <c r="AP12" s="31"/>
    </row>
    <row r="13" spans="1:42" ht="24.95" customHeight="1" x14ac:dyDescent="0.3">
      <c r="A13" s="11">
        <v>434</v>
      </c>
      <c r="B13" s="11" t="s">
        <v>109</v>
      </c>
      <c r="C13" s="11" t="s">
        <v>88</v>
      </c>
      <c r="D13" s="11" t="s">
        <v>176</v>
      </c>
      <c r="E13" s="11" t="s">
        <v>192</v>
      </c>
      <c r="F13" s="11" t="s">
        <v>216</v>
      </c>
      <c r="G13" s="11" t="s">
        <v>247</v>
      </c>
      <c r="H13" s="11" t="s">
        <v>74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12">
        <f>VLOOKUP(AB13,바코드찍는곳!B:C,2,0)</f>
        <v>5</v>
      </c>
      <c r="W13" s="21"/>
      <c r="X13" s="22"/>
      <c r="Y13" s="23" t="s">
        <v>75</v>
      </c>
      <c r="Z13" s="23" t="s">
        <v>75</v>
      </c>
      <c r="AA13" s="23" t="s">
        <v>75</v>
      </c>
      <c r="AB13" s="24">
        <v>8809848761867</v>
      </c>
      <c r="AC13" s="22" t="s">
        <v>81</v>
      </c>
      <c r="AD13" s="22" t="s">
        <v>76</v>
      </c>
      <c r="AE13" s="25" t="s">
        <v>358</v>
      </c>
      <c r="AF13" s="11"/>
      <c r="AG13" s="11" t="s">
        <v>365</v>
      </c>
      <c r="AH13" s="11" t="s">
        <v>79</v>
      </c>
      <c r="AI13" s="11" t="s">
        <v>80</v>
      </c>
      <c r="AJ13" s="27"/>
      <c r="AK13" s="27"/>
      <c r="AL13" s="27"/>
      <c r="AM13" s="32"/>
      <c r="AN13" s="33"/>
      <c r="AO13" s="34"/>
      <c r="AP13" s="31"/>
    </row>
    <row r="14" spans="1:42" ht="24.95" customHeight="1" x14ac:dyDescent="0.3">
      <c r="A14" s="11">
        <v>435</v>
      </c>
      <c r="B14" s="11" t="s">
        <v>109</v>
      </c>
      <c r="C14" s="11" t="s">
        <v>89</v>
      </c>
      <c r="D14" s="11" t="s">
        <v>176</v>
      </c>
      <c r="E14" s="11" t="s">
        <v>192</v>
      </c>
      <c r="F14" s="11" t="s">
        <v>216</v>
      </c>
      <c r="G14" s="11" t="s">
        <v>248</v>
      </c>
      <c r="H14" s="11" t="s">
        <v>74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12">
        <f>VLOOKUP(AB14,바코드찍는곳!B:C,2,0)</f>
        <v>8</v>
      </c>
      <c r="W14" s="21"/>
      <c r="X14" s="22"/>
      <c r="Y14" s="23" t="s">
        <v>75</v>
      </c>
      <c r="Z14" s="23" t="s">
        <v>75</v>
      </c>
      <c r="AA14" s="23" t="s">
        <v>75</v>
      </c>
      <c r="AB14" s="24">
        <v>8809848761874</v>
      </c>
      <c r="AC14" s="22" t="s">
        <v>81</v>
      </c>
      <c r="AD14" s="22" t="s">
        <v>76</v>
      </c>
      <c r="AE14" s="25" t="s">
        <v>345</v>
      </c>
      <c r="AF14" s="11"/>
      <c r="AG14" s="11" t="s">
        <v>365</v>
      </c>
      <c r="AH14" s="11" t="s">
        <v>79</v>
      </c>
      <c r="AI14" s="11" t="s">
        <v>80</v>
      </c>
      <c r="AJ14" s="27"/>
      <c r="AK14" s="27"/>
      <c r="AL14" s="27"/>
      <c r="AM14" s="32"/>
      <c r="AN14" s="33"/>
      <c r="AO14" s="34"/>
      <c r="AP14" s="31"/>
    </row>
    <row r="15" spans="1:42" ht="24.95" customHeight="1" x14ac:dyDescent="0.3">
      <c r="A15" s="11">
        <v>436</v>
      </c>
      <c r="B15" s="11" t="s">
        <v>109</v>
      </c>
      <c r="C15" s="11" t="s">
        <v>90</v>
      </c>
      <c r="D15" s="11" t="s">
        <v>176</v>
      </c>
      <c r="E15" s="11" t="s">
        <v>192</v>
      </c>
      <c r="F15" s="11" t="s">
        <v>216</v>
      </c>
      <c r="G15" s="11" t="s">
        <v>249</v>
      </c>
      <c r="H15" s="11" t="s">
        <v>74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12">
        <f>VLOOKUP(AB15,바코드찍는곳!B:C,2,0)</f>
        <v>4</v>
      </c>
      <c r="W15" s="21"/>
      <c r="X15" s="22"/>
      <c r="Y15" s="23" t="s">
        <v>75</v>
      </c>
      <c r="Z15" s="23" t="s">
        <v>75</v>
      </c>
      <c r="AA15" s="23" t="s">
        <v>75</v>
      </c>
      <c r="AB15" s="24">
        <v>8809848761881</v>
      </c>
      <c r="AC15" s="22" t="s">
        <v>81</v>
      </c>
      <c r="AD15" s="22" t="s">
        <v>76</v>
      </c>
      <c r="AE15" s="25" t="s">
        <v>350</v>
      </c>
      <c r="AF15" s="11"/>
      <c r="AG15" s="11" t="s">
        <v>365</v>
      </c>
      <c r="AH15" s="11" t="s">
        <v>79</v>
      </c>
      <c r="AI15" s="11" t="s">
        <v>80</v>
      </c>
      <c r="AJ15" s="27"/>
      <c r="AK15" s="27"/>
      <c r="AL15" s="27"/>
      <c r="AM15" s="32"/>
      <c r="AN15" s="33"/>
      <c r="AO15" s="34"/>
      <c r="AP15" s="31"/>
    </row>
    <row r="16" spans="1:42" ht="24.95" customHeight="1" x14ac:dyDescent="0.3">
      <c r="A16" s="11">
        <v>444</v>
      </c>
      <c r="B16" s="11" t="s">
        <v>109</v>
      </c>
      <c r="C16" s="11" t="s">
        <v>97</v>
      </c>
      <c r="D16" s="11" t="s">
        <v>176</v>
      </c>
      <c r="E16" s="11" t="s">
        <v>192</v>
      </c>
      <c r="F16" s="11" t="s">
        <v>216</v>
      </c>
      <c r="G16" s="11" t="s">
        <v>250</v>
      </c>
      <c r="H16" s="11" t="s">
        <v>74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12">
        <f>VLOOKUP(AB16,바코드찍는곳!B:C,2,0)</f>
        <v>3</v>
      </c>
      <c r="W16" s="21"/>
      <c r="X16" s="22"/>
      <c r="Y16" s="23" t="s">
        <v>75</v>
      </c>
      <c r="Z16" s="23" t="s">
        <v>75</v>
      </c>
      <c r="AA16" s="23" t="s">
        <v>75</v>
      </c>
      <c r="AB16" s="24">
        <v>8809848761966</v>
      </c>
      <c r="AC16" s="22" t="s">
        <v>81</v>
      </c>
      <c r="AD16" s="22" t="s">
        <v>76</v>
      </c>
      <c r="AE16" s="25" t="s">
        <v>348</v>
      </c>
      <c r="AF16" s="11"/>
      <c r="AG16" s="11" t="s">
        <v>365</v>
      </c>
      <c r="AH16" s="11" t="s">
        <v>79</v>
      </c>
      <c r="AI16" s="11" t="s">
        <v>80</v>
      </c>
      <c r="AJ16" s="27"/>
      <c r="AK16" s="27"/>
      <c r="AL16" s="27"/>
      <c r="AM16" s="32"/>
      <c r="AN16" s="33"/>
      <c r="AO16" s="34"/>
      <c r="AP16" s="31"/>
    </row>
    <row r="17" spans="1:42" ht="24.95" customHeight="1" x14ac:dyDescent="0.3">
      <c r="A17" s="11">
        <v>457</v>
      </c>
      <c r="B17" s="11" t="s">
        <v>109</v>
      </c>
      <c r="C17" s="11" t="s">
        <v>100</v>
      </c>
      <c r="D17" s="11" t="s">
        <v>176</v>
      </c>
      <c r="E17" s="11" t="s">
        <v>192</v>
      </c>
      <c r="F17" s="11" t="s">
        <v>216</v>
      </c>
      <c r="G17" s="11" t="s">
        <v>251</v>
      </c>
      <c r="H17" s="11" t="s">
        <v>74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12">
        <f>VLOOKUP(AB17,바코드찍는곳!B:C,2,0)</f>
        <v>2</v>
      </c>
      <c r="W17" s="21"/>
      <c r="X17" s="22"/>
      <c r="Y17" s="23" t="s">
        <v>75</v>
      </c>
      <c r="Z17" s="23" t="s">
        <v>75</v>
      </c>
      <c r="AA17" s="23" t="s">
        <v>75</v>
      </c>
      <c r="AB17" s="24">
        <v>8809848762093</v>
      </c>
      <c r="AC17" s="22" t="s">
        <v>81</v>
      </c>
      <c r="AD17" s="22" t="s">
        <v>76</v>
      </c>
      <c r="AE17" s="25" t="s">
        <v>348</v>
      </c>
      <c r="AF17" s="11"/>
      <c r="AG17" s="11" t="s">
        <v>365</v>
      </c>
      <c r="AH17" s="11" t="s">
        <v>79</v>
      </c>
      <c r="AI17" s="11" t="s">
        <v>80</v>
      </c>
      <c r="AJ17" s="27"/>
      <c r="AK17" s="27"/>
      <c r="AL17" s="27"/>
      <c r="AM17" s="32"/>
      <c r="AN17" s="33"/>
      <c r="AO17" s="34"/>
      <c r="AP17" s="31"/>
    </row>
    <row r="18" spans="1:42" ht="24.95" customHeight="1" x14ac:dyDescent="0.3">
      <c r="A18" s="11">
        <v>459</v>
      </c>
      <c r="B18" s="11" t="s">
        <v>109</v>
      </c>
      <c r="C18" s="11" t="s">
        <v>101</v>
      </c>
      <c r="D18" s="11" t="s">
        <v>176</v>
      </c>
      <c r="E18" s="11" t="s">
        <v>192</v>
      </c>
      <c r="F18" s="11" t="s">
        <v>216</v>
      </c>
      <c r="G18" s="11" t="s">
        <v>252</v>
      </c>
      <c r="H18" s="11" t="s">
        <v>74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12">
        <f>VLOOKUP(AB18,바코드찍는곳!B:C,2,0)</f>
        <v>2</v>
      </c>
      <c r="W18" s="21"/>
      <c r="X18" s="22"/>
      <c r="Y18" s="23" t="s">
        <v>75</v>
      </c>
      <c r="Z18" s="23" t="s">
        <v>75</v>
      </c>
      <c r="AA18" s="23" t="s">
        <v>75</v>
      </c>
      <c r="AB18" s="24">
        <v>8809848762116</v>
      </c>
      <c r="AC18" s="22" t="s">
        <v>81</v>
      </c>
      <c r="AD18" s="22" t="s">
        <v>76</v>
      </c>
      <c r="AE18" s="25" t="s">
        <v>349</v>
      </c>
      <c r="AF18" s="11"/>
      <c r="AG18" s="11" t="s">
        <v>365</v>
      </c>
      <c r="AH18" s="11" t="s">
        <v>79</v>
      </c>
      <c r="AI18" s="11" t="s">
        <v>80</v>
      </c>
      <c r="AJ18" s="27"/>
      <c r="AK18" s="27"/>
      <c r="AL18" s="27"/>
      <c r="AM18" s="32"/>
      <c r="AN18" s="33"/>
      <c r="AO18" s="34"/>
      <c r="AP18" s="31"/>
    </row>
    <row r="19" spans="1:42" ht="24.95" customHeight="1" x14ac:dyDescent="0.3">
      <c r="A19" s="11">
        <v>461</v>
      </c>
      <c r="B19" s="11" t="s">
        <v>109</v>
      </c>
      <c r="C19" s="11" t="s">
        <v>103</v>
      </c>
      <c r="D19" s="11" t="s">
        <v>176</v>
      </c>
      <c r="E19" s="11" t="s">
        <v>192</v>
      </c>
      <c r="F19" s="11" t="s">
        <v>216</v>
      </c>
      <c r="G19" s="11" t="s">
        <v>253</v>
      </c>
      <c r="H19" s="11" t="s">
        <v>74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12">
        <f>VLOOKUP(AB19,바코드찍는곳!B:C,2,0)</f>
        <v>3</v>
      </c>
      <c r="W19" s="21"/>
      <c r="X19" s="22"/>
      <c r="Y19" s="23" t="s">
        <v>75</v>
      </c>
      <c r="Z19" s="23" t="s">
        <v>75</v>
      </c>
      <c r="AA19" s="23" t="s">
        <v>75</v>
      </c>
      <c r="AB19" s="24">
        <v>8809848762130</v>
      </c>
      <c r="AC19" s="22" t="s">
        <v>81</v>
      </c>
      <c r="AD19" s="22" t="s">
        <v>76</v>
      </c>
      <c r="AE19" s="25" t="s">
        <v>346</v>
      </c>
      <c r="AF19" s="11"/>
      <c r="AG19" s="11" t="s">
        <v>365</v>
      </c>
      <c r="AH19" s="11" t="s">
        <v>79</v>
      </c>
      <c r="AI19" s="11" t="s">
        <v>80</v>
      </c>
      <c r="AJ19" s="27"/>
      <c r="AK19" s="27"/>
      <c r="AL19" s="27"/>
      <c r="AM19" s="32"/>
      <c r="AN19" s="33"/>
      <c r="AO19" s="34"/>
      <c r="AP19" s="31"/>
    </row>
    <row r="20" spans="1:42" ht="24.95" customHeight="1" x14ac:dyDescent="0.3">
      <c r="A20" s="11">
        <v>462</v>
      </c>
      <c r="B20" s="11" t="s">
        <v>109</v>
      </c>
      <c r="C20" s="11" t="s">
        <v>104</v>
      </c>
      <c r="D20" s="11" t="s">
        <v>176</v>
      </c>
      <c r="E20" s="11" t="s">
        <v>192</v>
      </c>
      <c r="F20" s="11" t="s">
        <v>216</v>
      </c>
      <c r="G20" s="11" t="s">
        <v>254</v>
      </c>
      <c r="H20" s="11" t="s">
        <v>74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12">
        <f>VLOOKUP(AB20,바코드찍는곳!B:C,2,0)</f>
        <v>2</v>
      </c>
      <c r="W20" s="21"/>
      <c r="X20" s="22"/>
      <c r="Y20" s="23" t="s">
        <v>75</v>
      </c>
      <c r="Z20" s="23" t="s">
        <v>75</v>
      </c>
      <c r="AA20" s="23" t="s">
        <v>75</v>
      </c>
      <c r="AB20" s="24">
        <v>8809848762147</v>
      </c>
      <c r="AC20" s="22" t="s">
        <v>81</v>
      </c>
      <c r="AD20" s="22" t="s">
        <v>76</v>
      </c>
      <c r="AE20" s="25" t="s">
        <v>355</v>
      </c>
      <c r="AF20" s="11"/>
      <c r="AG20" s="11" t="s">
        <v>365</v>
      </c>
      <c r="AH20" s="11" t="s">
        <v>79</v>
      </c>
      <c r="AI20" s="11" t="s">
        <v>80</v>
      </c>
      <c r="AJ20" s="27"/>
      <c r="AK20" s="27"/>
      <c r="AL20" s="27"/>
      <c r="AM20" s="32"/>
      <c r="AN20" s="33"/>
      <c r="AO20" s="34"/>
      <c r="AP20" s="31"/>
    </row>
    <row r="21" spans="1:42" ht="24.95" customHeight="1" x14ac:dyDescent="0.3">
      <c r="A21" s="11">
        <v>463</v>
      </c>
      <c r="B21" s="11" t="s">
        <v>109</v>
      </c>
      <c r="C21" s="11" t="s">
        <v>105</v>
      </c>
      <c r="D21" s="11" t="s">
        <v>176</v>
      </c>
      <c r="E21" s="11" t="s">
        <v>192</v>
      </c>
      <c r="F21" s="11" t="s">
        <v>216</v>
      </c>
      <c r="G21" s="11" t="s">
        <v>255</v>
      </c>
      <c r="H21" s="11" t="s">
        <v>74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12">
        <f>VLOOKUP(AB21,바코드찍는곳!B:C,2,0)</f>
        <v>2</v>
      </c>
      <c r="W21" s="21"/>
      <c r="X21" s="22"/>
      <c r="Y21" s="23" t="s">
        <v>75</v>
      </c>
      <c r="Z21" s="23" t="s">
        <v>75</v>
      </c>
      <c r="AA21" s="23" t="s">
        <v>75</v>
      </c>
      <c r="AB21" s="24">
        <v>8809848762154</v>
      </c>
      <c r="AC21" s="22" t="s">
        <v>81</v>
      </c>
      <c r="AD21" s="22" t="s">
        <v>76</v>
      </c>
      <c r="AE21" s="25" t="s">
        <v>72</v>
      </c>
      <c r="AF21" s="11"/>
      <c r="AG21" s="11" t="s">
        <v>365</v>
      </c>
      <c r="AH21" s="11" t="s">
        <v>79</v>
      </c>
      <c r="AI21" s="11" t="s">
        <v>80</v>
      </c>
      <c r="AJ21" s="27"/>
      <c r="AK21" s="27"/>
      <c r="AL21" s="27"/>
      <c r="AM21" s="32"/>
      <c r="AN21" s="33"/>
      <c r="AO21" s="34"/>
      <c r="AP21" s="31"/>
    </row>
    <row r="22" spans="1:42" ht="24.95" customHeight="1" x14ac:dyDescent="0.3">
      <c r="A22" s="11">
        <v>508</v>
      </c>
      <c r="B22" s="11" t="s">
        <v>110</v>
      </c>
      <c r="C22" s="11" t="s">
        <v>97</v>
      </c>
      <c r="D22" s="11" t="s">
        <v>177</v>
      </c>
      <c r="E22" s="11" t="s">
        <v>193</v>
      </c>
      <c r="F22" s="11" t="s">
        <v>217</v>
      </c>
      <c r="G22" s="11" t="s">
        <v>256</v>
      </c>
      <c r="H22" s="11" t="s">
        <v>74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12">
        <f>VLOOKUP(AB22,바코드찍는곳!B:C,2,0)</f>
        <v>1</v>
      </c>
      <c r="W22" s="21"/>
      <c r="X22" s="22"/>
      <c r="Y22" s="23" t="s">
        <v>75</v>
      </c>
      <c r="Z22" s="23" t="s">
        <v>75</v>
      </c>
      <c r="AA22" s="23" t="s">
        <v>75</v>
      </c>
      <c r="AB22" s="24">
        <v>8809792685899</v>
      </c>
      <c r="AC22" s="22" t="s">
        <v>81</v>
      </c>
      <c r="AD22" s="22" t="s">
        <v>76</v>
      </c>
      <c r="AE22" s="25" t="s">
        <v>344</v>
      </c>
      <c r="AF22" s="11"/>
      <c r="AG22" s="11" t="s">
        <v>363</v>
      </c>
      <c r="AH22" s="11" t="s">
        <v>79</v>
      </c>
      <c r="AI22" s="11" t="s">
        <v>80</v>
      </c>
      <c r="AJ22" s="27"/>
      <c r="AK22" s="27"/>
      <c r="AL22" s="27"/>
      <c r="AM22" s="32"/>
      <c r="AN22" s="33"/>
      <c r="AO22" s="34"/>
      <c r="AP22" s="31"/>
    </row>
    <row r="23" spans="1:42" ht="24.95" customHeight="1" x14ac:dyDescent="0.3">
      <c r="A23" s="11">
        <v>511</v>
      </c>
      <c r="B23" s="11" t="s">
        <v>111</v>
      </c>
      <c r="C23" s="11" t="s">
        <v>73</v>
      </c>
      <c r="D23" s="11" t="s">
        <v>178</v>
      </c>
      <c r="E23" s="11" t="s">
        <v>194</v>
      </c>
      <c r="F23" s="11" t="s">
        <v>218</v>
      </c>
      <c r="G23" s="11" t="s">
        <v>257</v>
      </c>
      <c r="H23" s="11" t="s">
        <v>74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12">
        <f>VLOOKUP(AB23,바코드찍는곳!B:C,2,0)</f>
        <v>4</v>
      </c>
      <c r="W23" s="21"/>
      <c r="X23" s="22"/>
      <c r="Y23" s="23" t="s">
        <v>75</v>
      </c>
      <c r="Z23" s="23" t="s">
        <v>75</v>
      </c>
      <c r="AA23" s="23" t="s">
        <v>75</v>
      </c>
      <c r="AB23" s="24">
        <v>8809848762505</v>
      </c>
      <c r="AC23" s="22" t="s">
        <v>81</v>
      </c>
      <c r="AD23" s="22" t="s">
        <v>76</v>
      </c>
      <c r="AE23" s="25" t="s">
        <v>350</v>
      </c>
      <c r="AF23" s="11"/>
      <c r="AG23" s="11" t="s">
        <v>365</v>
      </c>
      <c r="AH23" s="11" t="s">
        <v>79</v>
      </c>
      <c r="AI23" s="11" t="s">
        <v>80</v>
      </c>
      <c r="AJ23" s="27"/>
      <c r="AK23" s="27"/>
      <c r="AL23" s="27"/>
      <c r="AM23" s="32"/>
      <c r="AN23" s="33"/>
      <c r="AO23" s="34"/>
      <c r="AP23" s="31"/>
    </row>
    <row r="24" spans="1:42" ht="24.95" customHeight="1" x14ac:dyDescent="0.3">
      <c r="A24" s="11">
        <v>512</v>
      </c>
      <c r="B24" s="11" t="s">
        <v>111</v>
      </c>
      <c r="C24" s="11" t="s">
        <v>84</v>
      </c>
      <c r="D24" s="11" t="s">
        <v>178</v>
      </c>
      <c r="E24" s="11" t="s">
        <v>194</v>
      </c>
      <c r="F24" s="11" t="s">
        <v>218</v>
      </c>
      <c r="G24" s="11" t="s">
        <v>258</v>
      </c>
      <c r="H24" s="11" t="s">
        <v>74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12">
        <f>VLOOKUP(AB24,바코드찍는곳!B:C,2,0)</f>
        <v>3</v>
      </c>
      <c r="W24" s="21"/>
      <c r="X24" s="22"/>
      <c r="Y24" s="23" t="s">
        <v>75</v>
      </c>
      <c r="Z24" s="23" t="s">
        <v>75</v>
      </c>
      <c r="AA24" s="23" t="s">
        <v>75</v>
      </c>
      <c r="AB24" s="24">
        <v>8809848762512</v>
      </c>
      <c r="AC24" s="22" t="s">
        <v>81</v>
      </c>
      <c r="AD24" s="22" t="s">
        <v>76</v>
      </c>
      <c r="AE24" s="25" t="s">
        <v>344</v>
      </c>
      <c r="AF24" s="11"/>
      <c r="AG24" s="11" t="s">
        <v>365</v>
      </c>
      <c r="AH24" s="11" t="s">
        <v>79</v>
      </c>
      <c r="AI24" s="11" t="s">
        <v>80</v>
      </c>
      <c r="AJ24" s="27"/>
      <c r="AK24" s="27"/>
      <c r="AL24" s="27"/>
      <c r="AM24" s="32"/>
      <c r="AN24" s="33"/>
      <c r="AO24" s="34"/>
      <c r="AP24" s="31"/>
    </row>
    <row r="25" spans="1:42" ht="24.95" customHeight="1" x14ac:dyDescent="0.3">
      <c r="A25" s="11">
        <v>513</v>
      </c>
      <c r="B25" s="11" t="s">
        <v>111</v>
      </c>
      <c r="C25" s="11" t="s">
        <v>85</v>
      </c>
      <c r="D25" s="11" t="s">
        <v>178</v>
      </c>
      <c r="E25" s="11" t="s">
        <v>194</v>
      </c>
      <c r="F25" s="11" t="s">
        <v>218</v>
      </c>
      <c r="G25" s="11" t="s">
        <v>259</v>
      </c>
      <c r="H25" s="11" t="s">
        <v>74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12">
        <f>VLOOKUP(AB25,바코드찍는곳!B:C,2,0)</f>
        <v>4</v>
      </c>
      <c r="W25" s="21"/>
      <c r="X25" s="22"/>
      <c r="Y25" s="23" t="s">
        <v>75</v>
      </c>
      <c r="Z25" s="23" t="s">
        <v>75</v>
      </c>
      <c r="AA25" s="23" t="s">
        <v>75</v>
      </c>
      <c r="AB25" s="24">
        <v>8809848762529</v>
      </c>
      <c r="AC25" s="22" t="s">
        <v>81</v>
      </c>
      <c r="AD25" s="22" t="s">
        <v>76</v>
      </c>
      <c r="AE25" s="25" t="s">
        <v>345</v>
      </c>
      <c r="AF25" s="11"/>
      <c r="AG25" s="11" t="s">
        <v>365</v>
      </c>
      <c r="AH25" s="11" t="s">
        <v>79</v>
      </c>
      <c r="AI25" s="11" t="s">
        <v>80</v>
      </c>
      <c r="AJ25" s="27"/>
      <c r="AK25" s="27"/>
      <c r="AL25" s="27"/>
      <c r="AM25" s="32"/>
      <c r="AN25" s="33"/>
      <c r="AO25" s="34"/>
      <c r="AP25" s="31"/>
    </row>
    <row r="26" spans="1:42" ht="24.95" customHeight="1" x14ac:dyDescent="0.3">
      <c r="A26" s="11">
        <v>514</v>
      </c>
      <c r="B26" s="11" t="s">
        <v>111</v>
      </c>
      <c r="C26" s="11" t="s">
        <v>86</v>
      </c>
      <c r="D26" s="11" t="s">
        <v>178</v>
      </c>
      <c r="E26" s="11" t="s">
        <v>194</v>
      </c>
      <c r="F26" s="11" t="s">
        <v>218</v>
      </c>
      <c r="G26" s="11" t="s">
        <v>260</v>
      </c>
      <c r="H26" s="11" t="s">
        <v>74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12">
        <f>VLOOKUP(AB26,바코드찍는곳!B:C,2,0)</f>
        <v>4</v>
      </c>
      <c r="W26" s="21"/>
      <c r="X26" s="22"/>
      <c r="Y26" s="23" t="s">
        <v>75</v>
      </c>
      <c r="Z26" s="23" t="s">
        <v>75</v>
      </c>
      <c r="AA26" s="23" t="s">
        <v>75</v>
      </c>
      <c r="AB26" s="24">
        <v>8809848762536</v>
      </c>
      <c r="AC26" s="22" t="s">
        <v>81</v>
      </c>
      <c r="AD26" s="22" t="s">
        <v>76</v>
      </c>
      <c r="AE26" s="25" t="s">
        <v>344</v>
      </c>
      <c r="AF26" s="11"/>
      <c r="AG26" s="11" t="s">
        <v>365</v>
      </c>
      <c r="AH26" s="11" t="s">
        <v>79</v>
      </c>
      <c r="AI26" s="11" t="s">
        <v>80</v>
      </c>
      <c r="AJ26" s="27"/>
      <c r="AK26" s="27"/>
      <c r="AL26" s="27"/>
      <c r="AM26" s="32"/>
      <c r="AN26" s="33"/>
      <c r="AO26" s="34"/>
      <c r="AP26" s="31"/>
    </row>
    <row r="27" spans="1:42" ht="24.95" customHeight="1" x14ac:dyDescent="0.3">
      <c r="A27" s="11">
        <v>515</v>
      </c>
      <c r="B27" s="11" t="s">
        <v>111</v>
      </c>
      <c r="C27" s="11" t="s">
        <v>87</v>
      </c>
      <c r="D27" s="11" t="s">
        <v>178</v>
      </c>
      <c r="E27" s="11" t="s">
        <v>194</v>
      </c>
      <c r="F27" s="11" t="s">
        <v>218</v>
      </c>
      <c r="G27" s="11" t="s">
        <v>261</v>
      </c>
      <c r="H27" s="11" t="s">
        <v>74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12">
        <f>VLOOKUP(AB27,바코드찍는곳!B:C,2,0)</f>
        <v>3</v>
      </c>
      <c r="W27" s="21"/>
      <c r="X27" s="22"/>
      <c r="Y27" s="23" t="s">
        <v>75</v>
      </c>
      <c r="Z27" s="23" t="s">
        <v>75</v>
      </c>
      <c r="AA27" s="23" t="s">
        <v>75</v>
      </c>
      <c r="AB27" s="24">
        <v>8809848762543</v>
      </c>
      <c r="AC27" s="22" t="s">
        <v>81</v>
      </c>
      <c r="AD27" s="22" t="s">
        <v>76</v>
      </c>
      <c r="AE27" s="25" t="s">
        <v>344</v>
      </c>
      <c r="AF27" s="11"/>
      <c r="AG27" s="11" t="s">
        <v>365</v>
      </c>
      <c r="AH27" s="11" t="s">
        <v>79</v>
      </c>
      <c r="AI27" s="11" t="s">
        <v>80</v>
      </c>
      <c r="AJ27" s="27"/>
      <c r="AK27" s="27"/>
      <c r="AL27" s="27"/>
      <c r="AM27" s="32"/>
      <c r="AN27" s="33"/>
      <c r="AO27" s="34"/>
      <c r="AP27" s="31"/>
    </row>
    <row r="28" spans="1:42" ht="24.95" customHeight="1" x14ac:dyDescent="0.3">
      <c r="A28" s="11">
        <v>519</v>
      </c>
      <c r="B28" s="11" t="s">
        <v>111</v>
      </c>
      <c r="C28" s="11" t="s">
        <v>93</v>
      </c>
      <c r="D28" s="11" t="s">
        <v>178</v>
      </c>
      <c r="E28" s="11" t="s">
        <v>194</v>
      </c>
      <c r="F28" s="11" t="s">
        <v>218</v>
      </c>
      <c r="G28" s="11" t="s">
        <v>262</v>
      </c>
      <c r="H28" s="11" t="s">
        <v>74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12">
        <f>VLOOKUP(AB28,바코드찍는곳!B:C,2,0)</f>
        <v>3</v>
      </c>
      <c r="W28" s="21"/>
      <c r="X28" s="22"/>
      <c r="Y28" s="23" t="s">
        <v>75</v>
      </c>
      <c r="Z28" s="23" t="s">
        <v>75</v>
      </c>
      <c r="AA28" s="23" t="s">
        <v>75</v>
      </c>
      <c r="AB28" s="24">
        <v>8809848762581</v>
      </c>
      <c r="AC28" s="22" t="s">
        <v>81</v>
      </c>
      <c r="AD28" s="22" t="s">
        <v>76</v>
      </c>
      <c r="AE28" s="25" t="s">
        <v>72</v>
      </c>
      <c r="AF28" s="11"/>
      <c r="AG28" s="11" t="s">
        <v>365</v>
      </c>
      <c r="AH28" s="11" t="s">
        <v>79</v>
      </c>
      <c r="AI28" s="11" t="s">
        <v>80</v>
      </c>
      <c r="AJ28" s="27"/>
      <c r="AK28" s="27"/>
      <c r="AL28" s="27"/>
      <c r="AM28" s="32"/>
      <c r="AN28" s="33"/>
      <c r="AO28" s="34"/>
      <c r="AP28" s="31"/>
    </row>
    <row r="29" spans="1:42" ht="24.95" customHeight="1" x14ac:dyDescent="0.3">
      <c r="A29" s="11">
        <v>521</v>
      </c>
      <c r="B29" s="11" t="s">
        <v>111</v>
      </c>
      <c r="C29" s="11" t="s">
        <v>95</v>
      </c>
      <c r="D29" s="11" t="s">
        <v>178</v>
      </c>
      <c r="E29" s="11" t="s">
        <v>194</v>
      </c>
      <c r="F29" s="11" t="s">
        <v>218</v>
      </c>
      <c r="G29" s="11" t="s">
        <v>263</v>
      </c>
      <c r="H29" s="11" t="s">
        <v>74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12">
        <f>VLOOKUP(AB29,바코드찍는곳!B:C,2,0)</f>
        <v>5</v>
      </c>
      <c r="W29" s="21"/>
      <c r="X29" s="22"/>
      <c r="Y29" s="23" t="s">
        <v>75</v>
      </c>
      <c r="Z29" s="23" t="s">
        <v>75</v>
      </c>
      <c r="AA29" s="23" t="s">
        <v>75</v>
      </c>
      <c r="AB29" s="24">
        <v>8809848762604</v>
      </c>
      <c r="AC29" s="22" t="s">
        <v>81</v>
      </c>
      <c r="AD29" s="22" t="s">
        <v>76</v>
      </c>
      <c r="AE29" s="25" t="s">
        <v>344</v>
      </c>
      <c r="AF29" s="11"/>
      <c r="AG29" s="11" t="s">
        <v>365</v>
      </c>
      <c r="AH29" s="11" t="s">
        <v>79</v>
      </c>
      <c r="AI29" s="11" t="s">
        <v>80</v>
      </c>
      <c r="AJ29" s="27"/>
      <c r="AK29" s="27"/>
      <c r="AL29" s="27"/>
      <c r="AM29" s="32"/>
      <c r="AN29" s="33"/>
      <c r="AO29" s="34"/>
      <c r="AP29" s="31"/>
    </row>
    <row r="30" spans="1:42" ht="24.95" customHeight="1" x14ac:dyDescent="0.3">
      <c r="A30" s="11">
        <v>949</v>
      </c>
      <c r="B30" s="11" t="s">
        <v>112</v>
      </c>
      <c r="C30" s="11" t="s">
        <v>146</v>
      </c>
      <c r="D30" s="11" t="s">
        <v>181</v>
      </c>
      <c r="E30" s="11" t="s">
        <v>195</v>
      </c>
      <c r="F30" s="11" t="s">
        <v>219</v>
      </c>
      <c r="G30" s="11" t="s">
        <v>264</v>
      </c>
      <c r="H30" s="11" t="s">
        <v>74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12">
        <f>VLOOKUP(AB30,바코드찍는곳!B:C,2,0)</f>
        <v>1</v>
      </c>
      <c r="W30" s="21"/>
      <c r="X30" s="22"/>
      <c r="Y30" s="23" t="s">
        <v>75</v>
      </c>
      <c r="Z30" s="23" t="s">
        <v>75</v>
      </c>
      <c r="AA30" s="23" t="s">
        <v>75</v>
      </c>
      <c r="AB30" s="24" t="s">
        <v>397</v>
      </c>
      <c r="AC30" s="22" t="s">
        <v>81</v>
      </c>
      <c r="AD30" s="22" t="s">
        <v>76</v>
      </c>
      <c r="AE30" s="25" t="s">
        <v>349</v>
      </c>
      <c r="AF30" s="11">
        <v>72765967528</v>
      </c>
      <c r="AG30" s="11" t="s">
        <v>363</v>
      </c>
      <c r="AH30" s="11" t="s">
        <v>79</v>
      </c>
      <c r="AI30" s="11" t="s">
        <v>80</v>
      </c>
      <c r="AJ30" s="28"/>
      <c r="AK30" s="28"/>
      <c r="AL30" s="28"/>
      <c r="AM30" s="29"/>
      <c r="AN30" s="33"/>
      <c r="AO30" s="34"/>
      <c r="AP30" s="31"/>
    </row>
    <row r="31" spans="1:42" ht="24.95" customHeight="1" x14ac:dyDescent="0.3">
      <c r="A31" s="11">
        <v>1436</v>
      </c>
      <c r="B31" s="11" t="s">
        <v>113</v>
      </c>
      <c r="C31" s="11" t="s">
        <v>153</v>
      </c>
      <c r="D31" s="11" t="s">
        <v>184</v>
      </c>
      <c r="E31" s="11" t="s">
        <v>196</v>
      </c>
      <c r="F31" s="11" t="s">
        <v>220</v>
      </c>
      <c r="G31" s="11" t="s">
        <v>265</v>
      </c>
      <c r="H31" s="11" t="s">
        <v>74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12">
        <f>VLOOKUP(AB31,바코드찍는곳!B:C,2,0)</f>
        <v>1</v>
      </c>
      <c r="W31" s="21"/>
      <c r="X31" s="22"/>
      <c r="Y31" s="23" t="s">
        <v>75</v>
      </c>
      <c r="Z31" s="23" t="s">
        <v>75</v>
      </c>
      <c r="AA31" s="23" t="s">
        <v>75</v>
      </c>
      <c r="AB31" s="24">
        <v>8809821534174</v>
      </c>
      <c r="AC31" s="22" t="s">
        <v>81</v>
      </c>
      <c r="AD31" s="22" t="s">
        <v>76</v>
      </c>
      <c r="AE31" s="25" t="s">
        <v>77</v>
      </c>
      <c r="AF31" s="11"/>
      <c r="AG31" s="11" t="s">
        <v>366</v>
      </c>
      <c r="AH31" s="11" t="s">
        <v>79</v>
      </c>
      <c r="AI31" s="11" t="s">
        <v>80</v>
      </c>
      <c r="AJ31" s="28"/>
      <c r="AK31" s="28"/>
      <c r="AL31" s="28"/>
      <c r="AM31" s="29"/>
      <c r="AN31" s="33"/>
      <c r="AO31" s="34"/>
      <c r="AP31" s="31"/>
    </row>
    <row r="32" spans="1:42" ht="24.95" customHeight="1" x14ac:dyDescent="0.3">
      <c r="A32" s="11">
        <v>1808</v>
      </c>
      <c r="B32" s="11" t="s">
        <v>114</v>
      </c>
      <c r="C32" s="11" t="s">
        <v>103</v>
      </c>
      <c r="D32" s="11" t="s">
        <v>185</v>
      </c>
      <c r="E32" s="11" t="s">
        <v>197</v>
      </c>
      <c r="F32" s="11" t="s">
        <v>221</v>
      </c>
      <c r="G32" s="11" t="s">
        <v>266</v>
      </c>
      <c r="H32" s="11" t="s">
        <v>74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12">
        <f>VLOOKUP(AB32,바코드찍는곳!B:C,2,0)</f>
        <v>1</v>
      </c>
      <c r="W32" s="21"/>
      <c r="X32" s="22"/>
      <c r="Y32" s="23" t="s">
        <v>75</v>
      </c>
      <c r="Z32" s="23" t="s">
        <v>75</v>
      </c>
      <c r="AA32" s="23" t="s">
        <v>75</v>
      </c>
      <c r="AB32" s="24">
        <v>8809816389901</v>
      </c>
      <c r="AC32" s="22" t="s">
        <v>81</v>
      </c>
      <c r="AD32" s="22" t="s">
        <v>76</v>
      </c>
      <c r="AE32" s="25" t="s">
        <v>344</v>
      </c>
      <c r="AF32" s="11"/>
      <c r="AG32" s="11" t="s">
        <v>78</v>
      </c>
      <c r="AH32" s="11" t="s">
        <v>79</v>
      </c>
      <c r="AI32" s="11" t="s">
        <v>80</v>
      </c>
      <c r="AJ32" s="28"/>
      <c r="AK32" s="28"/>
      <c r="AL32" s="28"/>
      <c r="AM32" s="29"/>
      <c r="AN32" s="33"/>
      <c r="AO32" s="34"/>
      <c r="AP32" s="31"/>
    </row>
    <row r="33" spans="1:42" ht="24.95" customHeight="1" x14ac:dyDescent="0.3">
      <c r="A33" s="11">
        <v>1905</v>
      </c>
      <c r="B33" s="11" t="s">
        <v>115</v>
      </c>
      <c r="C33" s="11" t="s">
        <v>99</v>
      </c>
      <c r="D33" s="11" t="s">
        <v>182</v>
      </c>
      <c r="E33" s="11" t="s">
        <v>198</v>
      </c>
      <c r="F33" s="11" t="s">
        <v>222</v>
      </c>
      <c r="G33" s="11" t="s">
        <v>267</v>
      </c>
      <c r="H33" s="11" t="s">
        <v>74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12">
        <f>VLOOKUP(AB33,바코드찍는곳!B:C,2,0)</f>
        <v>2</v>
      </c>
      <c r="W33" s="21"/>
      <c r="X33" s="22"/>
      <c r="Y33" s="23" t="s">
        <v>75</v>
      </c>
      <c r="Z33" s="23" t="s">
        <v>75</v>
      </c>
      <c r="AA33" s="23" t="s">
        <v>75</v>
      </c>
      <c r="AB33" s="24">
        <v>8809816388539</v>
      </c>
      <c r="AC33" s="22" t="s">
        <v>81</v>
      </c>
      <c r="AD33" s="22" t="s">
        <v>76</v>
      </c>
      <c r="AE33" s="25" t="s">
        <v>72</v>
      </c>
      <c r="AF33" s="11"/>
      <c r="AG33" s="11" t="s">
        <v>78</v>
      </c>
      <c r="AH33" s="11" t="s">
        <v>79</v>
      </c>
      <c r="AI33" s="11" t="s">
        <v>80</v>
      </c>
      <c r="AJ33" s="28"/>
      <c r="AK33" s="28"/>
      <c r="AL33" s="28"/>
      <c r="AM33" s="29"/>
      <c r="AN33" s="33"/>
      <c r="AO33" s="34"/>
      <c r="AP33" s="31"/>
    </row>
    <row r="34" spans="1:42" ht="24.95" customHeight="1" x14ac:dyDescent="0.3">
      <c r="A34" s="11">
        <v>1908</v>
      </c>
      <c r="B34" s="11" t="s">
        <v>115</v>
      </c>
      <c r="C34" s="11" t="s">
        <v>101</v>
      </c>
      <c r="D34" s="11" t="s">
        <v>182</v>
      </c>
      <c r="E34" s="11" t="s">
        <v>198</v>
      </c>
      <c r="F34" s="11" t="s">
        <v>222</v>
      </c>
      <c r="G34" s="11" t="s">
        <v>268</v>
      </c>
      <c r="H34" s="11" t="s">
        <v>74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12">
        <f>VLOOKUP(AB34,바코드찍는곳!B:C,2,0)</f>
        <v>1</v>
      </c>
      <c r="W34" s="21"/>
      <c r="X34" s="22"/>
      <c r="Y34" s="23" t="s">
        <v>75</v>
      </c>
      <c r="Z34" s="23" t="s">
        <v>75</v>
      </c>
      <c r="AA34" s="23" t="s">
        <v>75</v>
      </c>
      <c r="AB34" s="24">
        <v>8809816388560</v>
      </c>
      <c r="AC34" s="22" t="s">
        <v>81</v>
      </c>
      <c r="AD34" s="22" t="s">
        <v>76</v>
      </c>
      <c r="AE34" s="25" t="s">
        <v>344</v>
      </c>
      <c r="AF34" s="11"/>
      <c r="AG34" s="11" t="s">
        <v>78</v>
      </c>
      <c r="AH34" s="11" t="s">
        <v>79</v>
      </c>
      <c r="AI34" s="11" t="s">
        <v>80</v>
      </c>
      <c r="AJ34" s="28"/>
      <c r="AK34" s="28"/>
      <c r="AL34" s="28"/>
      <c r="AM34" s="29"/>
      <c r="AN34" s="33"/>
      <c r="AO34" s="34"/>
      <c r="AP34" s="31"/>
    </row>
    <row r="35" spans="1:42" ht="24.95" customHeight="1" x14ac:dyDescent="0.3">
      <c r="A35" s="11">
        <v>1934</v>
      </c>
      <c r="B35" s="11" t="s">
        <v>116</v>
      </c>
      <c r="C35" s="11" t="s">
        <v>132</v>
      </c>
      <c r="D35" s="11" t="s">
        <v>182</v>
      </c>
      <c r="E35" s="11" t="s">
        <v>199</v>
      </c>
      <c r="F35" s="11" t="s">
        <v>223</v>
      </c>
      <c r="G35" s="11" t="s">
        <v>269</v>
      </c>
      <c r="H35" s="11" t="s">
        <v>74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12">
        <f>VLOOKUP(AB35,바코드찍는곳!B:C,2,0)</f>
        <v>1</v>
      </c>
      <c r="W35" s="21"/>
      <c r="X35" s="22"/>
      <c r="Y35" s="23" t="s">
        <v>75</v>
      </c>
      <c r="Z35" s="23" t="s">
        <v>75</v>
      </c>
      <c r="AA35" s="23" t="s">
        <v>75</v>
      </c>
      <c r="AB35" s="24">
        <v>8809816388850</v>
      </c>
      <c r="AC35" s="22" t="s">
        <v>81</v>
      </c>
      <c r="AD35" s="22" t="s">
        <v>76</v>
      </c>
      <c r="AE35" s="25" t="s">
        <v>72</v>
      </c>
      <c r="AF35" s="11"/>
      <c r="AG35" s="11" t="s">
        <v>78</v>
      </c>
      <c r="AH35" s="11" t="s">
        <v>79</v>
      </c>
      <c r="AI35" s="11" t="s">
        <v>80</v>
      </c>
      <c r="AJ35" s="28"/>
      <c r="AK35" s="28"/>
      <c r="AL35" s="28"/>
      <c r="AM35" s="29"/>
      <c r="AN35" s="33"/>
      <c r="AO35" s="34"/>
      <c r="AP35" s="31"/>
    </row>
    <row r="36" spans="1:42" ht="24.95" customHeight="1" x14ac:dyDescent="0.3">
      <c r="A36" s="11">
        <v>1935</v>
      </c>
      <c r="B36" s="11" t="s">
        <v>116</v>
      </c>
      <c r="C36" s="11" t="s">
        <v>73</v>
      </c>
      <c r="D36" s="11" t="s">
        <v>182</v>
      </c>
      <c r="E36" s="11" t="s">
        <v>199</v>
      </c>
      <c r="F36" s="11" t="s">
        <v>223</v>
      </c>
      <c r="G36" s="11" t="s">
        <v>270</v>
      </c>
      <c r="H36" s="11" t="s">
        <v>74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12">
        <f>VLOOKUP(AB36,바코드찍는곳!B:C,2,0)</f>
        <v>2</v>
      </c>
      <c r="W36" s="21"/>
      <c r="X36" s="22"/>
      <c r="Y36" s="23" t="s">
        <v>75</v>
      </c>
      <c r="Z36" s="23" t="s">
        <v>75</v>
      </c>
      <c r="AA36" s="23" t="s">
        <v>75</v>
      </c>
      <c r="AB36" s="24">
        <v>8809816388867</v>
      </c>
      <c r="AC36" s="22" t="s">
        <v>81</v>
      </c>
      <c r="AD36" s="22" t="s">
        <v>76</v>
      </c>
      <c r="AE36" s="25" t="s">
        <v>345</v>
      </c>
      <c r="AF36" s="11"/>
      <c r="AG36" s="11" t="s">
        <v>78</v>
      </c>
      <c r="AH36" s="11" t="s">
        <v>79</v>
      </c>
      <c r="AI36" s="11" t="s">
        <v>80</v>
      </c>
      <c r="AJ36" s="28"/>
      <c r="AK36" s="28"/>
      <c r="AL36" s="28"/>
      <c r="AM36" s="29"/>
      <c r="AN36" s="33"/>
      <c r="AO36" s="34"/>
      <c r="AP36" s="31"/>
    </row>
    <row r="37" spans="1:42" ht="24.95" customHeight="1" x14ac:dyDescent="0.3">
      <c r="A37" s="11">
        <v>1940</v>
      </c>
      <c r="B37" s="11" t="s">
        <v>116</v>
      </c>
      <c r="C37" s="11" t="s">
        <v>133</v>
      </c>
      <c r="D37" s="11" t="s">
        <v>182</v>
      </c>
      <c r="E37" s="11" t="s">
        <v>199</v>
      </c>
      <c r="F37" s="11" t="s">
        <v>223</v>
      </c>
      <c r="G37" s="11" t="s">
        <v>271</v>
      </c>
      <c r="H37" s="11" t="s">
        <v>74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12">
        <f>VLOOKUP(AB37,바코드찍는곳!B:C,2,0)</f>
        <v>1</v>
      </c>
      <c r="W37" s="21"/>
      <c r="X37" s="22"/>
      <c r="Y37" s="23" t="s">
        <v>75</v>
      </c>
      <c r="Z37" s="23" t="s">
        <v>75</v>
      </c>
      <c r="AA37" s="23" t="s">
        <v>75</v>
      </c>
      <c r="AB37" s="24">
        <v>8809816388911</v>
      </c>
      <c r="AC37" s="22" t="s">
        <v>81</v>
      </c>
      <c r="AD37" s="22" t="s">
        <v>76</v>
      </c>
      <c r="AE37" s="25" t="s">
        <v>72</v>
      </c>
      <c r="AF37" s="11"/>
      <c r="AG37" s="11" t="s">
        <v>78</v>
      </c>
      <c r="AH37" s="11" t="s">
        <v>79</v>
      </c>
      <c r="AI37" s="11" t="s">
        <v>80</v>
      </c>
      <c r="AJ37" s="28"/>
      <c r="AK37" s="28"/>
      <c r="AL37" s="28"/>
      <c r="AM37" s="29"/>
      <c r="AN37" s="33"/>
      <c r="AO37" s="34"/>
      <c r="AP37" s="31"/>
    </row>
    <row r="38" spans="1:42" ht="24.95" customHeight="1" x14ac:dyDescent="0.3">
      <c r="A38" s="11">
        <v>1951</v>
      </c>
      <c r="B38" s="11" t="s">
        <v>116</v>
      </c>
      <c r="C38" s="11" t="s">
        <v>102</v>
      </c>
      <c r="D38" s="11" t="s">
        <v>182</v>
      </c>
      <c r="E38" s="11" t="s">
        <v>199</v>
      </c>
      <c r="F38" s="11" t="s">
        <v>223</v>
      </c>
      <c r="G38" s="11" t="s">
        <v>272</v>
      </c>
      <c r="H38" s="11" t="s">
        <v>74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12">
        <f>VLOOKUP(AB38,바코드찍는곳!B:C,2,0)</f>
        <v>1</v>
      </c>
      <c r="W38" s="21"/>
      <c r="X38" s="22"/>
      <c r="Y38" s="23" t="s">
        <v>75</v>
      </c>
      <c r="Z38" s="23" t="s">
        <v>75</v>
      </c>
      <c r="AA38" s="23" t="s">
        <v>75</v>
      </c>
      <c r="AB38" s="24">
        <v>8809816389024</v>
      </c>
      <c r="AC38" s="22" t="s">
        <v>81</v>
      </c>
      <c r="AD38" s="22" t="s">
        <v>76</v>
      </c>
      <c r="AE38" s="25" t="s">
        <v>77</v>
      </c>
      <c r="AF38" s="11"/>
      <c r="AG38" s="11" t="s">
        <v>78</v>
      </c>
      <c r="AH38" s="11" t="s">
        <v>79</v>
      </c>
      <c r="AI38" s="11" t="s">
        <v>80</v>
      </c>
      <c r="AJ38" s="28"/>
      <c r="AK38" s="28"/>
      <c r="AL38" s="28"/>
      <c r="AM38" s="29"/>
      <c r="AN38" s="33"/>
      <c r="AO38" s="34"/>
      <c r="AP38" s="31"/>
    </row>
    <row r="39" spans="1:42" ht="24.95" customHeight="1" x14ac:dyDescent="0.3">
      <c r="A39" s="11">
        <v>2501</v>
      </c>
      <c r="B39" s="11" t="s">
        <v>117</v>
      </c>
      <c r="C39" s="11" t="s">
        <v>134</v>
      </c>
      <c r="D39" s="11" t="s">
        <v>184</v>
      </c>
      <c r="E39" s="11" t="s">
        <v>200</v>
      </c>
      <c r="F39" s="11" t="s">
        <v>224</v>
      </c>
      <c r="G39" s="11" t="s">
        <v>273</v>
      </c>
      <c r="H39" s="11" t="s">
        <v>74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12">
        <f>VLOOKUP(AB39,바코드찍는곳!B:C,2,0)</f>
        <v>3</v>
      </c>
      <c r="W39" s="21"/>
      <c r="X39" s="22"/>
      <c r="Y39" s="23" t="s">
        <v>75</v>
      </c>
      <c r="Z39" s="23" t="s">
        <v>75</v>
      </c>
      <c r="AA39" s="23" t="s">
        <v>75</v>
      </c>
      <c r="AB39" s="24">
        <v>8809798693065</v>
      </c>
      <c r="AC39" s="22" t="s">
        <v>81</v>
      </c>
      <c r="AD39" s="22" t="s">
        <v>76</v>
      </c>
      <c r="AE39" s="25" t="s">
        <v>349</v>
      </c>
      <c r="AF39" s="11"/>
      <c r="AG39" s="11" t="s">
        <v>365</v>
      </c>
      <c r="AH39" s="11" t="s">
        <v>79</v>
      </c>
      <c r="AI39" s="11" t="s">
        <v>80</v>
      </c>
      <c r="AJ39" s="28"/>
      <c r="AK39" s="28"/>
      <c r="AL39" s="28"/>
      <c r="AM39" s="29"/>
      <c r="AN39" s="33"/>
      <c r="AO39" s="34"/>
      <c r="AP39" s="31"/>
    </row>
    <row r="40" spans="1:42" ht="24.95" customHeight="1" x14ac:dyDescent="0.3">
      <c r="A40" s="11">
        <v>2502</v>
      </c>
      <c r="B40" s="11" t="s">
        <v>117</v>
      </c>
      <c r="C40" s="11" t="s">
        <v>135</v>
      </c>
      <c r="D40" s="11" t="s">
        <v>184</v>
      </c>
      <c r="E40" s="11" t="s">
        <v>200</v>
      </c>
      <c r="F40" s="11" t="s">
        <v>224</v>
      </c>
      <c r="G40" s="11" t="s">
        <v>274</v>
      </c>
      <c r="H40" s="11" t="s">
        <v>74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12">
        <f>VLOOKUP(AB40,바코드찍는곳!B:C,2,0)</f>
        <v>5</v>
      </c>
      <c r="W40" s="21"/>
      <c r="X40" s="22"/>
      <c r="Y40" s="23" t="s">
        <v>75</v>
      </c>
      <c r="Z40" s="23" t="s">
        <v>75</v>
      </c>
      <c r="AA40" s="23" t="s">
        <v>75</v>
      </c>
      <c r="AB40" s="24">
        <v>8809798693072</v>
      </c>
      <c r="AC40" s="22" t="s">
        <v>81</v>
      </c>
      <c r="AD40" s="22" t="s">
        <v>76</v>
      </c>
      <c r="AE40" s="25" t="s">
        <v>349</v>
      </c>
      <c r="AF40" s="11"/>
      <c r="AG40" s="11" t="s">
        <v>365</v>
      </c>
      <c r="AH40" s="11" t="s">
        <v>79</v>
      </c>
      <c r="AI40" s="11" t="s">
        <v>80</v>
      </c>
      <c r="AJ40" s="28"/>
      <c r="AK40" s="28"/>
      <c r="AL40" s="28"/>
      <c r="AM40" s="29"/>
      <c r="AN40" s="33"/>
      <c r="AO40" s="34"/>
      <c r="AP40" s="31"/>
    </row>
    <row r="41" spans="1:42" ht="24.95" customHeight="1" x14ac:dyDescent="0.3">
      <c r="A41" s="11">
        <v>2503</v>
      </c>
      <c r="B41" s="11" t="s">
        <v>117</v>
      </c>
      <c r="C41" s="11" t="s">
        <v>136</v>
      </c>
      <c r="D41" s="11" t="s">
        <v>184</v>
      </c>
      <c r="E41" s="11" t="s">
        <v>200</v>
      </c>
      <c r="F41" s="11" t="s">
        <v>224</v>
      </c>
      <c r="G41" s="11" t="s">
        <v>275</v>
      </c>
      <c r="H41" s="11" t="s">
        <v>74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12">
        <f>VLOOKUP(AB41,바코드찍는곳!B:C,2,0)</f>
        <v>5</v>
      </c>
      <c r="W41" s="21"/>
      <c r="X41" s="22"/>
      <c r="Y41" s="23" t="s">
        <v>75</v>
      </c>
      <c r="Z41" s="23" t="s">
        <v>75</v>
      </c>
      <c r="AA41" s="23" t="s">
        <v>75</v>
      </c>
      <c r="AB41" s="24">
        <v>8809798693089</v>
      </c>
      <c r="AC41" s="22" t="s">
        <v>81</v>
      </c>
      <c r="AD41" s="22" t="s">
        <v>76</v>
      </c>
      <c r="AE41" s="25" t="s">
        <v>344</v>
      </c>
      <c r="AF41" s="11"/>
      <c r="AG41" s="11" t="s">
        <v>365</v>
      </c>
      <c r="AH41" s="11" t="s">
        <v>79</v>
      </c>
      <c r="AI41" s="11" t="s">
        <v>80</v>
      </c>
      <c r="AJ41" s="28"/>
      <c r="AK41" s="28"/>
      <c r="AL41" s="28"/>
      <c r="AM41" s="29"/>
      <c r="AN41" s="33"/>
      <c r="AO41" s="34"/>
      <c r="AP41" s="31"/>
    </row>
    <row r="42" spans="1:42" ht="24.95" customHeight="1" x14ac:dyDescent="0.3">
      <c r="A42" s="11">
        <v>2504</v>
      </c>
      <c r="B42" s="11" t="s">
        <v>117</v>
      </c>
      <c r="C42" s="11" t="s">
        <v>137</v>
      </c>
      <c r="D42" s="11" t="s">
        <v>184</v>
      </c>
      <c r="E42" s="11" t="s">
        <v>200</v>
      </c>
      <c r="F42" s="11" t="s">
        <v>224</v>
      </c>
      <c r="G42" s="11" t="s">
        <v>276</v>
      </c>
      <c r="H42" s="11" t="s">
        <v>74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12">
        <f>VLOOKUP(AB42,바코드찍는곳!B:C,2,0)</f>
        <v>6</v>
      </c>
      <c r="W42" s="21"/>
      <c r="X42" s="22"/>
      <c r="Y42" s="23" t="s">
        <v>75</v>
      </c>
      <c r="Z42" s="23" t="s">
        <v>75</v>
      </c>
      <c r="AA42" s="23" t="s">
        <v>75</v>
      </c>
      <c r="AB42" s="24">
        <v>8809798693096</v>
      </c>
      <c r="AC42" s="22" t="s">
        <v>81</v>
      </c>
      <c r="AD42" s="22" t="s">
        <v>76</v>
      </c>
      <c r="AE42" s="25" t="s">
        <v>350</v>
      </c>
      <c r="AF42" s="11"/>
      <c r="AG42" s="11" t="s">
        <v>365</v>
      </c>
      <c r="AH42" s="11" t="s">
        <v>79</v>
      </c>
      <c r="AI42" s="11" t="s">
        <v>80</v>
      </c>
      <c r="AJ42" s="28"/>
      <c r="AK42" s="28"/>
      <c r="AL42" s="28"/>
      <c r="AM42" s="29"/>
      <c r="AN42" s="33"/>
      <c r="AO42" s="34"/>
      <c r="AP42" s="31"/>
    </row>
    <row r="43" spans="1:42" ht="24.95" customHeight="1" x14ac:dyDescent="0.3">
      <c r="A43" s="11">
        <v>2505</v>
      </c>
      <c r="B43" s="11" t="s">
        <v>117</v>
      </c>
      <c r="C43" s="11" t="s">
        <v>138</v>
      </c>
      <c r="D43" s="11" t="s">
        <v>184</v>
      </c>
      <c r="E43" s="11" t="s">
        <v>200</v>
      </c>
      <c r="F43" s="11" t="s">
        <v>224</v>
      </c>
      <c r="G43" s="11" t="s">
        <v>277</v>
      </c>
      <c r="H43" s="11" t="s">
        <v>74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12">
        <f>VLOOKUP(AB43,바코드찍는곳!B:C,2,0)</f>
        <v>2</v>
      </c>
      <c r="W43" s="21"/>
      <c r="X43" s="22"/>
      <c r="Y43" s="23" t="s">
        <v>75</v>
      </c>
      <c r="Z43" s="23" t="s">
        <v>75</v>
      </c>
      <c r="AA43" s="23" t="s">
        <v>75</v>
      </c>
      <c r="AB43" s="24">
        <v>8809798693102</v>
      </c>
      <c r="AC43" s="22" t="s">
        <v>81</v>
      </c>
      <c r="AD43" s="22" t="s">
        <v>76</v>
      </c>
      <c r="AE43" s="25" t="s">
        <v>352</v>
      </c>
      <c r="AF43" s="11"/>
      <c r="AG43" s="11" t="s">
        <v>365</v>
      </c>
      <c r="AH43" s="11" t="s">
        <v>79</v>
      </c>
      <c r="AI43" s="11" t="s">
        <v>80</v>
      </c>
      <c r="AJ43" s="28"/>
      <c r="AK43" s="28"/>
      <c r="AL43" s="28"/>
      <c r="AM43" s="29"/>
      <c r="AN43" s="33"/>
      <c r="AO43" s="34"/>
      <c r="AP43" s="31"/>
    </row>
    <row r="44" spans="1:42" ht="24.95" customHeight="1" x14ac:dyDescent="0.3">
      <c r="A44" s="11">
        <v>2507</v>
      </c>
      <c r="B44" s="11" t="s">
        <v>117</v>
      </c>
      <c r="C44" s="11" t="s">
        <v>147</v>
      </c>
      <c r="D44" s="11" t="s">
        <v>184</v>
      </c>
      <c r="E44" s="11" t="s">
        <v>200</v>
      </c>
      <c r="F44" s="11" t="s">
        <v>224</v>
      </c>
      <c r="G44" s="11" t="s">
        <v>278</v>
      </c>
      <c r="H44" s="11" t="s">
        <v>74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12">
        <f>VLOOKUP(AB44,바코드찍는곳!B:C,2,0)</f>
        <v>2</v>
      </c>
      <c r="W44" s="21"/>
      <c r="X44" s="22"/>
      <c r="Y44" s="23" t="s">
        <v>75</v>
      </c>
      <c r="Z44" s="23" t="s">
        <v>75</v>
      </c>
      <c r="AA44" s="23" t="s">
        <v>75</v>
      </c>
      <c r="AB44" s="24">
        <v>8809798693188</v>
      </c>
      <c r="AC44" s="22" t="s">
        <v>81</v>
      </c>
      <c r="AD44" s="22" t="s">
        <v>76</v>
      </c>
      <c r="AE44" s="25" t="s">
        <v>348</v>
      </c>
      <c r="AF44" s="11"/>
      <c r="AG44" s="11" t="s">
        <v>365</v>
      </c>
      <c r="AH44" s="11" t="s">
        <v>79</v>
      </c>
      <c r="AI44" s="11" t="s">
        <v>80</v>
      </c>
      <c r="AJ44" s="28"/>
      <c r="AK44" s="28"/>
      <c r="AL44" s="28"/>
      <c r="AM44" s="29"/>
      <c r="AN44" s="33"/>
      <c r="AO44" s="34"/>
      <c r="AP44" s="31"/>
    </row>
    <row r="45" spans="1:42" ht="24.95" customHeight="1" x14ac:dyDescent="0.3">
      <c r="A45" s="11">
        <v>2509</v>
      </c>
      <c r="B45" s="11" t="s">
        <v>117</v>
      </c>
      <c r="C45" s="11" t="s">
        <v>148</v>
      </c>
      <c r="D45" s="11" t="s">
        <v>184</v>
      </c>
      <c r="E45" s="11" t="s">
        <v>200</v>
      </c>
      <c r="F45" s="11" t="s">
        <v>224</v>
      </c>
      <c r="G45" s="11" t="s">
        <v>279</v>
      </c>
      <c r="H45" s="11" t="s">
        <v>74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12">
        <f>VLOOKUP(AB45,바코드찍는곳!B:C,2,0)</f>
        <v>4</v>
      </c>
      <c r="W45" s="21"/>
      <c r="X45" s="22"/>
      <c r="Y45" s="23" t="s">
        <v>75</v>
      </c>
      <c r="Z45" s="23" t="s">
        <v>75</v>
      </c>
      <c r="AA45" s="23" t="s">
        <v>75</v>
      </c>
      <c r="AB45" s="24">
        <v>8809798693201</v>
      </c>
      <c r="AC45" s="22" t="s">
        <v>81</v>
      </c>
      <c r="AD45" s="22" t="s">
        <v>76</v>
      </c>
      <c r="AE45" s="25" t="s">
        <v>348</v>
      </c>
      <c r="AF45" s="11"/>
      <c r="AG45" s="11" t="s">
        <v>365</v>
      </c>
      <c r="AH45" s="11" t="s">
        <v>79</v>
      </c>
      <c r="AI45" s="11" t="s">
        <v>80</v>
      </c>
      <c r="AJ45" s="28"/>
      <c r="AK45" s="28"/>
      <c r="AL45" s="28"/>
      <c r="AM45" s="29"/>
      <c r="AN45" s="33"/>
      <c r="AO45" s="34"/>
      <c r="AP45" s="31"/>
    </row>
    <row r="46" spans="1:42" ht="24.95" customHeight="1" x14ac:dyDescent="0.3">
      <c r="A46" s="11">
        <v>2510</v>
      </c>
      <c r="B46" s="11" t="s">
        <v>117</v>
      </c>
      <c r="C46" s="11" t="s">
        <v>149</v>
      </c>
      <c r="D46" s="11" t="s">
        <v>184</v>
      </c>
      <c r="E46" s="11" t="s">
        <v>200</v>
      </c>
      <c r="F46" s="11" t="s">
        <v>224</v>
      </c>
      <c r="G46" s="11" t="s">
        <v>280</v>
      </c>
      <c r="H46" s="11" t="s">
        <v>74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12">
        <f>VLOOKUP(AB46,바코드찍는곳!B:C,2,0)</f>
        <v>2</v>
      </c>
      <c r="W46" s="21"/>
      <c r="X46" s="22"/>
      <c r="Y46" s="23" t="s">
        <v>75</v>
      </c>
      <c r="Z46" s="23" t="s">
        <v>75</v>
      </c>
      <c r="AA46" s="23" t="s">
        <v>75</v>
      </c>
      <c r="AB46" s="24">
        <v>8809798693218</v>
      </c>
      <c r="AC46" s="22" t="s">
        <v>81</v>
      </c>
      <c r="AD46" s="22" t="s">
        <v>76</v>
      </c>
      <c r="AE46" s="25" t="s">
        <v>350</v>
      </c>
      <c r="AF46" s="11"/>
      <c r="AG46" s="11" t="s">
        <v>365</v>
      </c>
      <c r="AH46" s="11" t="s">
        <v>79</v>
      </c>
      <c r="AI46" s="11" t="s">
        <v>80</v>
      </c>
      <c r="AJ46" s="28"/>
      <c r="AK46" s="28"/>
      <c r="AL46" s="28"/>
      <c r="AM46" s="29"/>
      <c r="AN46" s="33"/>
      <c r="AO46" s="34"/>
      <c r="AP46" s="31"/>
    </row>
    <row r="47" spans="1:42" ht="24.95" customHeight="1" x14ac:dyDescent="0.3">
      <c r="A47" s="11">
        <v>2511</v>
      </c>
      <c r="B47" s="11" t="s">
        <v>117</v>
      </c>
      <c r="C47" s="11" t="s">
        <v>150</v>
      </c>
      <c r="D47" s="11" t="s">
        <v>184</v>
      </c>
      <c r="E47" s="11" t="s">
        <v>200</v>
      </c>
      <c r="F47" s="11" t="s">
        <v>224</v>
      </c>
      <c r="G47" s="11" t="s">
        <v>281</v>
      </c>
      <c r="H47" s="11" t="s">
        <v>74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12">
        <f>VLOOKUP(AB47,바코드찍는곳!B:C,2,0)</f>
        <v>2</v>
      </c>
      <c r="W47" s="21"/>
      <c r="X47" s="22"/>
      <c r="Y47" s="23" t="s">
        <v>75</v>
      </c>
      <c r="Z47" s="23" t="s">
        <v>75</v>
      </c>
      <c r="AA47" s="23" t="s">
        <v>75</v>
      </c>
      <c r="AB47" s="24">
        <v>8809798693225</v>
      </c>
      <c r="AC47" s="22" t="s">
        <v>81</v>
      </c>
      <c r="AD47" s="22" t="s">
        <v>76</v>
      </c>
      <c r="AE47" s="25" t="s">
        <v>352</v>
      </c>
      <c r="AF47" s="11"/>
      <c r="AG47" s="11" t="s">
        <v>365</v>
      </c>
      <c r="AH47" s="11" t="s">
        <v>79</v>
      </c>
      <c r="AI47" s="11" t="s">
        <v>80</v>
      </c>
      <c r="AJ47" s="28"/>
      <c r="AK47" s="28"/>
      <c r="AL47" s="28"/>
      <c r="AM47" s="29"/>
      <c r="AN47" s="33"/>
      <c r="AO47" s="34"/>
      <c r="AP47" s="31"/>
    </row>
    <row r="48" spans="1:42" ht="24.95" customHeight="1" x14ac:dyDescent="0.3">
      <c r="A48" s="11">
        <v>2512</v>
      </c>
      <c r="B48" s="11" t="s">
        <v>117</v>
      </c>
      <c r="C48" s="11" t="s">
        <v>151</v>
      </c>
      <c r="D48" s="11" t="s">
        <v>184</v>
      </c>
      <c r="E48" s="11" t="s">
        <v>200</v>
      </c>
      <c r="F48" s="11" t="s">
        <v>224</v>
      </c>
      <c r="G48" s="11" t="s">
        <v>282</v>
      </c>
      <c r="H48" s="11" t="s">
        <v>74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12">
        <f>VLOOKUP(AB48,바코드찍는곳!B:C,2,0)</f>
        <v>3</v>
      </c>
      <c r="W48" s="21"/>
      <c r="X48" s="22"/>
      <c r="Y48" s="23" t="s">
        <v>75</v>
      </c>
      <c r="Z48" s="23" t="s">
        <v>75</v>
      </c>
      <c r="AA48" s="23" t="s">
        <v>75</v>
      </c>
      <c r="AB48" s="24">
        <v>8809798693232</v>
      </c>
      <c r="AC48" s="22" t="s">
        <v>81</v>
      </c>
      <c r="AD48" s="22" t="s">
        <v>76</v>
      </c>
      <c r="AE48" s="25" t="s">
        <v>350</v>
      </c>
      <c r="AF48" s="11"/>
      <c r="AG48" s="11" t="s">
        <v>365</v>
      </c>
      <c r="AH48" s="11" t="s">
        <v>79</v>
      </c>
      <c r="AI48" s="11" t="s">
        <v>80</v>
      </c>
      <c r="AJ48" s="28"/>
      <c r="AK48" s="28"/>
      <c r="AL48" s="28"/>
      <c r="AM48" s="29"/>
      <c r="AN48" s="33"/>
      <c r="AO48" s="34"/>
      <c r="AP48" s="31"/>
    </row>
    <row r="49" spans="1:42" ht="24.95" customHeight="1" x14ac:dyDescent="0.3">
      <c r="A49" s="11">
        <v>2513</v>
      </c>
      <c r="B49" s="11" t="s">
        <v>117</v>
      </c>
      <c r="C49" s="11" t="s">
        <v>141</v>
      </c>
      <c r="D49" s="11" t="s">
        <v>184</v>
      </c>
      <c r="E49" s="11" t="s">
        <v>200</v>
      </c>
      <c r="F49" s="11" t="s">
        <v>224</v>
      </c>
      <c r="G49" s="11" t="s">
        <v>283</v>
      </c>
      <c r="H49" s="11" t="s">
        <v>74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12">
        <f>VLOOKUP(AB49,바코드찍는곳!B:C,2,0)</f>
        <v>3</v>
      </c>
      <c r="W49" s="21"/>
      <c r="X49" s="22"/>
      <c r="Y49" s="23" t="s">
        <v>75</v>
      </c>
      <c r="Z49" s="23" t="s">
        <v>75</v>
      </c>
      <c r="AA49" s="23" t="s">
        <v>75</v>
      </c>
      <c r="AB49" s="24">
        <v>8809798693126</v>
      </c>
      <c r="AC49" s="22" t="s">
        <v>81</v>
      </c>
      <c r="AD49" s="22" t="s">
        <v>76</v>
      </c>
      <c r="AE49" s="25" t="s">
        <v>346</v>
      </c>
      <c r="AF49" s="11"/>
      <c r="AG49" s="11" t="s">
        <v>365</v>
      </c>
      <c r="AH49" s="11" t="s">
        <v>79</v>
      </c>
      <c r="AI49" s="11" t="s">
        <v>80</v>
      </c>
      <c r="AJ49" s="28"/>
      <c r="AK49" s="28"/>
      <c r="AL49" s="28"/>
      <c r="AM49" s="29"/>
      <c r="AN49" s="33"/>
      <c r="AO49" s="34"/>
      <c r="AP49" s="31"/>
    </row>
    <row r="50" spans="1:42" ht="24.95" customHeight="1" x14ac:dyDescent="0.3">
      <c r="A50" s="11">
        <v>2515</v>
      </c>
      <c r="B50" s="11" t="s">
        <v>117</v>
      </c>
      <c r="C50" s="11" t="s">
        <v>143</v>
      </c>
      <c r="D50" s="11" t="s">
        <v>184</v>
      </c>
      <c r="E50" s="11" t="s">
        <v>200</v>
      </c>
      <c r="F50" s="11" t="s">
        <v>224</v>
      </c>
      <c r="G50" s="11" t="s">
        <v>284</v>
      </c>
      <c r="H50" s="11" t="s">
        <v>74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12">
        <f>VLOOKUP(AB50,바코드찍는곳!B:C,2,0)</f>
        <v>1</v>
      </c>
      <c r="W50" s="21"/>
      <c r="X50" s="22"/>
      <c r="Y50" s="23" t="s">
        <v>75</v>
      </c>
      <c r="Z50" s="23" t="s">
        <v>75</v>
      </c>
      <c r="AA50" s="23" t="s">
        <v>75</v>
      </c>
      <c r="AB50" s="24">
        <v>8809798693140</v>
      </c>
      <c r="AC50" s="22" t="s">
        <v>81</v>
      </c>
      <c r="AD50" s="22" t="s">
        <v>76</v>
      </c>
      <c r="AE50" s="25" t="s">
        <v>346</v>
      </c>
      <c r="AF50" s="11"/>
      <c r="AG50" s="11" t="s">
        <v>365</v>
      </c>
      <c r="AH50" s="11" t="s">
        <v>79</v>
      </c>
      <c r="AI50" s="11" t="s">
        <v>80</v>
      </c>
      <c r="AJ50" s="28"/>
      <c r="AK50" s="28"/>
      <c r="AL50" s="28"/>
      <c r="AM50" s="29"/>
      <c r="AN50" s="33"/>
      <c r="AO50" s="34"/>
      <c r="AP50" s="31"/>
    </row>
    <row r="51" spans="1:42" ht="24.95" customHeight="1" x14ac:dyDescent="0.3">
      <c r="A51" s="11">
        <v>2549</v>
      </c>
      <c r="B51" s="11" t="s">
        <v>118</v>
      </c>
      <c r="C51" s="11" t="s">
        <v>137</v>
      </c>
      <c r="D51" s="11" t="s">
        <v>183</v>
      </c>
      <c r="E51" s="11" t="s">
        <v>201</v>
      </c>
      <c r="F51" s="11" t="s">
        <v>225</v>
      </c>
      <c r="G51" s="11" t="s">
        <v>285</v>
      </c>
      <c r="H51" s="11" t="s">
        <v>74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12">
        <f>VLOOKUP(AB51,바코드찍는곳!B:C,2,0)</f>
        <v>2</v>
      </c>
      <c r="W51" s="21"/>
      <c r="X51" s="22"/>
      <c r="Y51" s="23" t="s">
        <v>75</v>
      </c>
      <c r="Z51" s="23" t="s">
        <v>75</v>
      </c>
      <c r="AA51" s="23" t="s">
        <v>75</v>
      </c>
      <c r="AB51" s="24">
        <v>8809798693270</v>
      </c>
      <c r="AC51" s="22" t="s">
        <v>81</v>
      </c>
      <c r="AD51" s="22" t="s">
        <v>76</v>
      </c>
      <c r="AE51" s="25" t="s">
        <v>353</v>
      </c>
      <c r="AF51" s="11"/>
      <c r="AG51" s="11" t="s">
        <v>363</v>
      </c>
      <c r="AH51" s="11" t="s">
        <v>79</v>
      </c>
      <c r="AI51" s="11" t="s">
        <v>80</v>
      </c>
      <c r="AJ51" s="28"/>
      <c r="AK51" s="28"/>
      <c r="AL51" s="28"/>
      <c r="AM51" s="29"/>
      <c r="AN51" s="33"/>
      <c r="AO51" s="34"/>
      <c r="AP51" s="31"/>
    </row>
    <row r="52" spans="1:42" ht="24.95" customHeight="1" x14ac:dyDescent="0.3">
      <c r="A52" s="11">
        <v>2551</v>
      </c>
      <c r="B52" s="11" t="s">
        <v>118</v>
      </c>
      <c r="C52" s="11" t="s">
        <v>139</v>
      </c>
      <c r="D52" s="11" t="s">
        <v>183</v>
      </c>
      <c r="E52" s="11" t="s">
        <v>201</v>
      </c>
      <c r="F52" s="11" t="s">
        <v>225</v>
      </c>
      <c r="G52" s="11" t="s">
        <v>286</v>
      </c>
      <c r="H52" s="11" t="s">
        <v>74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12">
        <f>VLOOKUP(AB52,바코드찍는곳!B:C,2,0)</f>
        <v>1</v>
      </c>
      <c r="W52" s="21"/>
      <c r="X52" s="22"/>
      <c r="Y52" s="23" t="s">
        <v>75</v>
      </c>
      <c r="Z52" s="23" t="s">
        <v>75</v>
      </c>
      <c r="AA52" s="23" t="s">
        <v>75</v>
      </c>
      <c r="AB52" s="24">
        <v>8809798693294</v>
      </c>
      <c r="AC52" s="22" t="s">
        <v>81</v>
      </c>
      <c r="AD52" s="22" t="s">
        <v>76</v>
      </c>
      <c r="AE52" s="25" t="s">
        <v>347</v>
      </c>
      <c r="AF52" s="11"/>
      <c r="AG52" s="11" t="s">
        <v>363</v>
      </c>
      <c r="AH52" s="11" t="s">
        <v>79</v>
      </c>
      <c r="AI52" s="11" t="s">
        <v>80</v>
      </c>
      <c r="AJ52" s="28"/>
      <c r="AK52" s="28"/>
      <c r="AL52" s="28"/>
      <c r="AM52" s="29"/>
      <c r="AN52" s="33"/>
      <c r="AO52" s="34"/>
      <c r="AP52" s="31"/>
    </row>
    <row r="53" spans="1:42" ht="24.95" customHeight="1" x14ac:dyDescent="0.3">
      <c r="A53" s="11">
        <v>2555</v>
      </c>
      <c r="B53" s="11" t="s">
        <v>118</v>
      </c>
      <c r="C53" s="11" t="s">
        <v>141</v>
      </c>
      <c r="D53" s="11" t="s">
        <v>183</v>
      </c>
      <c r="E53" s="11" t="s">
        <v>201</v>
      </c>
      <c r="F53" s="11" t="s">
        <v>225</v>
      </c>
      <c r="G53" s="11" t="s">
        <v>287</v>
      </c>
      <c r="H53" s="11" t="s">
        <v>74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12">
        <f>VLOOKUP(AB53,바코드찍는곳!B:C,2,0)</f>
        <v>1</v>
      </c>
      <c r="W53" s="21"/>
      <c r="X53" s="22"/>
      <c r="Y53" s="23" t="s">
        <v>75</v>
      </c>
      <c r="Z53" s="23" t="s">
        <v>75</v>
      </c>
      <c r="AA53" s="23" t="s">
        <v>75</v>
      </c>
      <c r="AB53" s="24">
        <v>8809798693423</v>
      </c>
      <c r="AC53" s="22" t="s">
        <v>81</v>
      </c>
      <c r="AD53" s="22" t="s">
        <v>76</v>
      </c>
      <c r="AE53" s="25" t="s">
        <v>350</v>
      </c>
      <c r="AF53" s="11"/>
      <c r="AG53" s="11" t="s">
        <v>363</v>
      </c>
      <c r="AH53" s="11" t="s">
        <v>79</v>
      </c>
      <c r="AI53" s="11" t="s">
        <v>80</v>
      </c>
      <c r="AJ53" s="28"/>
      <c r="AK53" s="28"/>
      <c r="AL53" s="28"/>
      <c r="AM53" s="29"/>
      <c r="AN53" s="33"/>
      <c r="AO53" s="34"/>
      <c r="AP53" s="31"/>
    </row>
    <row r="54" spans="1:42" ht="24.95" customHeight="1" x14ac:dyDescent="0.3">
      <c r="A54" s="11">
        <v>2556</v>
      </c>
      <c r="B54" s="11" t="s">
        <v>118</v>
      </c>
      <c r="C54" s="11" t="s">
        <v>142</v>
      </c>
      <c r="D54" s="11" t="s">
        <v>183</v>
      </c>
      <c r="E54" s="11" t="s">
        <v>201</v>
      </c>
      <c r="F54" s="11" t="s">
        <v>225</v>
      </c>
      <c r="G54" s="11" t="s">
        <v>288</v>
      </c>
      <c r="H54" s="11" t="s">
        <v>74</v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12">
        <f>VLOOKUP(AB54,바코드찍는곳!B:C,2,0)</f>
        <v>3</v>
      </c>
      <c r="W54" s="21"/>
      <c r="X54" s="22"/>
      <c r="Y54" s="23" t="s">
        <v>75</v>
      </c>
      <c r="Z54" s="23" t="s">
        <v>75</v>
      </c>
      <c r="AA54" s="23" t="s">
        <v>75</v>
      </c>
      <c r="AB54" s="24">
        <v>8809798693430</v>
      </c>
      <c r="AC54" s="22" t="s">
        <v>81</v>
      </c>
      <c r="AD54" s="22" t="s">
        <v>76</v>
      </c>
      <c r="AE54" s="25" t="s">
        <v>360</v>
      </c>
      <c r="AF54" s="11"/>
      <c r="AG54" s="11" t="s">
        <v>363</v>
      </c>
      <c r="AH54" s="11" t="s">
        <v>79</v>
      </c>
      <c r="AI54" s="11" t="s">
        <v>80</v>
      </c>
      <c r="AJ54" s="28"/>
      <c r="AK54" s="28"/>
      <c r="AL54" s="28"/>
      <c r="AM54" s="29"/>
      <c r="AN54" s="33"/>
      <c r="AO54" s="34"/>
      <c r="AP54" s="31"/>
    </row>
    <row r="55" spans="1:42" ht="24.95" customHeight="1" x14ac:dyDescent="0.3">
      <c r="A55" s="11">
        <v>2561</v>
      </c>
      <c r="B55" s="11" t="s">
        <v>118</v>
      </c>
      <c r="C55" s="11" t="s">
        <v>144</v>
      </c>
      <c r="D55" s="11" t="s">
        <v>183</v>
      </c>
      <c r="E55" s="11" t="s">
        <v>201</v>
      </c>
      <c r="F55" s="11" t="s">
        <v>225</v>
      </c>
      <c r="G55" s="11" t="s">
        <v>289</v>
      </c>
      <c r="H55" s="11" t="s">
        <v>74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12">
        <f>VLOOKUP(AB55,바코드찍는곳!B:C,2,0)</f>
        <v>1</v>
      </c>
      <c r="W55" s="21"/>
      <c r="X55" s="22"/>
      <c r="Y55" s="23" t="s">
        <v>75</v>
      </c>
      <c r="Z55" s="23" t="s">
        <v>75</v>
      </c>
      <c r="AA55" s="23" t="s">
        <v>75</v>
      </c>
      <c r="AB55" s="24">
        <v>8809798693485</v>
      </c>
      <c r="AC55" s="22" t="s">
        <v>81</v>
      </c>
      <c r="AD55" s="22" t="s">
        <v>76</v>
      </c>
      <c r="AE55" s="25" t="s">
        <v>359</v>
      </c>
      <c r="AF55" s="11"/>
      <c r="AG55" s="11" t="s">
        <v>363</v>
      </c>
      <c r="AH55" s="11" t="s">
        <v>79</v>
      </c>
      <c r="AI55" s="11" t="s">
        <v>80</v>
      </c>
      <c r="AJ55" s="28"/>
      <c r="AK55" s="28"/>
      <c r="AL55" s="28"/>
      <c r="AM55" s="29"/>
      <c r="AN55" s="33"/>
      <c r="AO55" s="34"/>
      <c r="AP55" s="31"/>
    </row>
    <row r="56" spans="1:42" ht="24.95" customHeight="1" x14ac:dyDescent="0.3">
      <c r="A56" s="11">
        <v>2569</v>
      </c>
      <c r="B56" s="11" t="s">
        <v>118</v>
      </c>
      <c r="C56" s="11" t="s">
        <v>151</v>
      </c>
      <c r="D56" s="11" t="s">
        <v>183</v>
      </c>
      <c r="E56" s="11" t="s">
        <v>201</v>
      </c>
      <c r="F56" s="11" t="s">
        <v>225</v>
      </c>
      <c r="G56" s="11" t="s">
        <v>290</v>
      </c>
      <c r="H56" s="11" t="s">
        <v>74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12">
        <f>VLOOKUP(AB56,바코드찍는곳!B:C,2,0)</f>
        <v>2</v>
      </c>
      <c r="W56" s="21"/>
      <c r="X56" s="22"/>
      <c r="Y56" s="23" t="s">
        <v>75</v>
      </c>
      <c r="Z56" s="23" t="s">
        <v>75</v>
      </c>
      <c r="AA56" s="23" t="s">
        <v>75</v>
      </c>
      <c r="AB56" s="24">
        <v>8809798693386</v>
      </c>
      <c r="AC56" s="22" t="s">
        <v>81</v>
      </c>
      <c r="AD56" s="22" t="s">
        <v>76</v>
      </c>
      <c r="AE56" s="25" t="s">
        <v>354</v>
      </c>
      <c r="AF56" s="11"/>
      <c r="AG56" s="11" t="s">
        <v>363</v>
      </c>
      <c r="AH56" s="11" t="s">
        <v>79</v>
      </c>
      <c r="AI56" s="11" t="s">
        <v>80</v>
      </c>
      <c r="AJ56" s="28"/>
      <c r="AK56" s="28"/>
      <c r="AL56" s="28"/>
      <c r="AM56" s="29"/>
      <c r="AN56" s="33"/>
      <c r="AO56" s="34"/>
      <c r="AP56" s="31"/>
    </row>
    <row r="57" spans="1:42" ht="24.95" customHeight="1" x14ac:dyDescent="0.3">
      <c r="A57" s="11">
        <v>2572</v>
      </c>
      <c r="B57" s="11" t="s">
        <v>118</v>
      </c>
      <c r="C57" s="11" t="s">
        <v>152</v>
      </c>
      <c r="D57" s="11" t="s">
        <v>183</v>
      </c>
      <c r="E57" s="11" t="s">
        <v>201</v>
      </c>
      <c r="F57" s="11" t="s">
        <v>225</v>
      </c>
      <c r="G57" s="11" t="s">
        <v>291</v>
      </c>
      <c r="H57" s="11" t="s">
        <v>74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12">
        <f>VLOOKUP(AB57,바코드찍는곳!B:C,2,0)</f>
        <v>1</v>
      </c>
      <c r="W57" s="21"/>
      <c r="X57" s="22"/>
      <c r="Y57" s="23" t="s">
        <v>75</v>
      </c>
      <c r="Z57" s="23" t="s">
        <v>75</v>
      </c>
      <c r="AA57" s="23" t="s">
        <v>75</v>
      </c>
      <c r="AB57" s="24">
        <v>8809798693416</v>
      </c>
      <c r="AC57" s="22" t="s">
        <v>81</v>
      </c>
      <c r="AD57" s="22" t="s">
        <v>76</v>
      </c>
      <c r="AE57" s="25" t="s">
        <v>350</v>
      </c>
      <c r="AF57" s="11"/>
      <c r="AG57" s="11" t="s">
        <v>363</v>
      </c>
      <c r="AH57" s="11" t="s">
        <v>79</v>
      </c>
      <c r="AI57" s="11" t="s">
        <v>80</v>
      </c>
      <c r="AJ57" s="28"/>
      <c r="AK57" s="28"/>
      <c r="AL57" s="28"/>
      <c r="AM57" s="29"/>
      <c r="AN57" s="33"/>
      <c r="AO57" s="34"/>
      <c r="AP57" s="31"/>
    </row>
    <row r="58" spans="1:42" ht="24.95" customHeight="1" x14ac:dyDescent="0.3">
      <c r="A58" s="11">
        <v>2708</v>
      </c>
      <c r="B58" s="11" t="s">
        <v>119</v>
      </c>
      <c r="C58" s="11" t="s">
        <v>137</v>
      </c>
      <c r="D58" s="11" t="s">
        <v>183</v>
      </c>
      <c r="E58" s="11" t="s">
        <v>202</v>
      </c>
      <c r="F58" s="11" t="s">
        <v>226</v>
      </c>
      <c r="G58" s="11" t="s">
        <v>292</v>
      </c>
      <c r="H58" s="11" t="s">
        <v>74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12">
        <f>VLOOKUP(AB58,바코드찍는곳!B:C,2,0)</f>
        <v>2</v>
      </c>
      <c r="W58" s="21"/>
      <c r="X58" s="22"/>
      <c r="Y58" s="23" t="s">
        <v>75</v>
      </c>
      <c r="Z58" s="23" t="s">
        <v>75</v>
      </c>
      <c r="AA58" s="23" t="s">
        <v>75</v>
      </c>
      <c r="AB58" s="24" t="s">
        <v>374</v>
      </c>
      <c r="AC58" s="22" t="s">
        <v>81</v>
      </c>
      <c r="AD58" s="22" t="s">
        <v>76</v>
      </c>
      <c r="AE58" s="25" t="s">
        <v>72</v>
      </c>
      <c r="AF58" s="11"/>
      <c r="AG58" s="11" t="s">
        <v>363</v>
      </c>
      <c r="AH58" s="11" t="s">
        <v>79</v>
      </c>
      <c r="AI58" s="11" t="s">
        <v>80</v>
      </c>
      <c r="AJ58" s="28"/>
      <c r="AK58" s="28"/>
      <c r="AL58" s="28"/>
      <c r="AM58" s="29"/>
      <c r="AN58" s="33"/>
      <c r="AO58" s="34"/>
      <c r="AP58" s="31"/>
    </row>
    <row r="59" spans="1:42" ht="24.95" customHeight="1" x14ac:dyDescent="0.3">
      <c r="A59" s="11">
        <v>2710</v>
      </c>
      <c r="B59" s="11" t="s">
        <v>119</v>
      </c>
      <c r="C59" s="11" t="s">
        <v>139</v>
      </c>
      <c r="D59" s="11" t="s">
        <v>183</v>
      </c>
      <c r="E59" s="11" t="s">
        <v>202</v>
      </c>
      <c r="F59" s="11" t="s">
        <v>226</v>
      </c>
      <c r="G59" s="11" t="s">
        <v>293</v>
      </c>
      <c r="H59" s="11" t="s">
        <v>74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12">
        <f>VLOOKUP(AB59,바코드찍는곳!B:C,2,0)</f>
        <v>2</v>
      </c>
      <c r="W59" s="21"/>
      <c r="X59" s="22"/>
      <c r="Y59" s="23" t="s">
        <v>75</v>
      </c>
      <c r="Z59" s="23" t="s">
        <v>75</v>
      </c>
      <c r="AA59" s="23" t="s">
        <v>75</v>
      </c>
      <c r="AB59" s="24" t="s">
        <v>375</v>
      </c>
      <c r="AC59" s="22" t="s">
        <v>81</v>
      </c>
      <c r="AD59" s="22" t="s">
        <v>76</v>
      </c>
      <c r="AE59" s="25" t="s">
        <v>344</v>
      </c>
      <c r="AF59" s="11"/>
      <c r="AG59" s="11" t="s">
        <v>363</v>
      </c>
      <c r="AH59" s="11" t="s">
        <v>79</v>
      </c>
      <c r="AI59" s="11" t="s">
        <v>80</v>
      </c>
      <c r="AJ59" s="28"/>
      <c r="AK59" s="28"/>
      <c r="AL59" s="28"/>
      <c r="AM59" s="29"/>
      <c r="AN59" s="33"/>
      <c r="AO59" s="34"/>
      <c r="AP59" s="31"/>
    </row>
    <row r="60" spans="1:42" ht="24.95" customHeight="1" x14ac:dyDescent="0.3">
      <c r="A60" s="11">
        <v>2715</v>
      </c>
      <c r="B60" s="11" t="s">
        <v>119</v>
      </c>
      <c r="C60" s="11" t="s">
        <v>142</v>
      </c>
      <c r="D60" s="11" t="s">
        <v>183</v>
      </c>
      <c r="E60" s="11" t="s">
        <v>202</v>
      </c>
      <c r="F60" s="11" t="s">
        <v>226</v>
      </c>
      <c r="G60" s="11" t="s">
        <v>294</v>
      </c>
      <c r="H60" s="11" t="s">
        <v>74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12">
        <f>VLOOKUP(AB60,바코드찍는곳!B:C,2,0)</f>
        <v>2</v>
      </c>
      <c r="W60" s="21"/>
      <c r="X60" s="22"/>
      <c r="Y60" s="23" t="s">
        <v>75</v>
      </c>
      <c r="Z60" s="23" t="s">
        <v>75</v>
      </c>
      <c r="AA60" s="23" t="s">
        <v>75</v>
      </c>
      <c r="AB60" s="24" t="s">
        <v>372</v>
      </c>
      <c r="AC60" s="22" t="s">
        <v>81</v>
      </c>
      <c r="AD60" s="22" t="s">
        <v>76</v>
      </c>
      <c r="AE60" s="25" t="s">
        <v>345</v>
      </c>
      <c r="AF60" s="11"/>
      <c r="AG60" s="11" t="s">
        <v>363</v>
      </c>
      <c r="AH60" s="11" t="s">
        <v>79</v>
      </c>
      <c r="AI60" s="11" t="s">
        <v>80</v>
      </c>
      <c r="AJ60" s="28"/>
      <c r="AK60" s="28"/>
      <c r="AL60" s="28"/>
      <c r="AM60" s="29"/>
      <c r="AN60" s="33"/>
      <c r="AO60" s="34"/>
      <c r="AP60" s="31"/>
    </row>
    <row r="61" spans="1:42" ht="24.95" customHeight="1" x14ac:dyDescent="0.3">
      <c r="A61" s="11">
        <v>2723</v>
      </c>
      <c r="B61" s="11" t="s">
        <v>119</v>
      </c>
      <c r="C61" s="11" t="s">
        <v>154</v>
      </c>
      <c r="D61" s="11" t="s">
        <v>183</v>
      </c>
      <c r="E61" s="11" t="s">
        <v>202</v>
      </c>
      <c r="F61" s="11" t="s">
        <v>226</v>
      </c>
      <c r="G61" s="11" t="s">
        <v>295</v>
      </c>
      <c r="H61" s="11" t="s">
        <v>74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12">
        <f>VLOOKUP(AB61,바코드찍는곳!B:C,2,0)</f>
        <v>1</v>
      </c>
      <c r="W61" s="21"/>
      <c r="X61" s="22"/>
      <c r="Y61" s="23" t="s">
        <v>75</v>
      </c>
      <c r="Z61" s="23" t="s">
        <v>75</v>
      </c>
      <c r="AA61" s="23" t="s">
        <v>75</v>
      </c>
      <c r="AB61" s="24" t="s">
        <v>371</v>
      </c>
      <c r="AC61" s="22" t="s">
        <v>81</v>
      </c>
      <c r="AD61" s="22" t="s">
        <v>76</v>
      </c>
      <c r="AE61" s="25" t="s">
        <v>72</v>
      </c>
      <c r="AF61" s="11"/>
      <c r="AG61" s="11" t="s">
        <v>363</v>
      </c>
      <c r="AH61" s="11" t="s">
        <v>79</v>
      </c>
      <c r="AI61" s="11" t="s">
        <v>80</v>
      </c>
      <c r="AJ61" s="28"/>
      <c r="AK61" s="28"/>
      <c r="AL61" s="28"/>
      <c r="AM61" s="29"/>
      <c r="AN61" s="33"/>
      <c r="AO61" s="34"/>
      <c r="AP61" s="31"/>
    </row>
    <row r="62" spans="1:42" ht="24.95" customHeight="1" x14ac:dyDescent="0.3">
      <c r="A62" s="11">
        <v>2724</v>
      </c>
      <c r="B62" s="11" t="s">
        <v>119</v>
      </c>
      <c r="C62" s="11" t="s">
        <v>155</v>
      </c>
      <c r="D62" s="11" t="s">
        <v>183</v>
      </c>
      <c r="E62" s="11" t="s">
        <v>202</v>
      </c>
      <c r="F62" s="11" t="s">
        <v>226</v>
      </c>
      <c r="G62" s="11" t="s">
        <v>296</v>
      </c>
      <c r="H62" s="11" t="s">
        <v>74</v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12">
        <f>VLOOKUP(AB62,바코드찍는곳!B:C,2,0)</f>
        <v>1</v>
      </c>
      <c r="W62" s="21"/>
      <c r="X62" s="22"/>
      <c r="Y62" s="23" t="s">
        <v>75</v>
      </c>
      <c r="Z62" s="23" t="s">
        <v>75</v>
      </c>
      <c r="AA62" s="23" t="s">
        <v>75</v>
      </c>
      <c r="AB62" s="24" t="s">
        <v>373</v>
      </c>
      <c r="AC62" s="22" t="s">
        <v>81</v>
      </c>
      <c r="AD62" s="22" t="s">
        <v>76</v>
      </c>
      <c r="AE62" s="25" t="s">
        <v>72</v>
      </c>
      <c r="AF62" s="11"/>
      <c r="AG62" s="11" t="s">
        <v>363</v>
      </c>
      <c r="AH62" s="11" t="s">
        <v>79</v>
      </c>
      <c r="AI62" s="11" t="s">
        <v>80</v>
      </c>
      <c r="AJ62" s="28"/>
      <c r="AK62" s="28"/>
      <c r="AL62" s="28"/>
      <c r="AM62" s="29"/>
      <c r="AN62" s="33"/>
      <c r="AO62" s="34"/>
      <c r="AP62" s="31"/>
    </row>
    <row r="63" spans="1:42" ht="24.95" customHeight="1" x14ac:dyDescent="0.3">
      <c r="A63" s="11">
        <v>2729</v>
      </c>
      <c r="B63" s="11" t="s">
        <v>119</v>
      </c>
      <c r="C63" s="11" t="s">
        <v>157</v>
      </c>
      <c r="D63" s="11" t="s">
        <v>183</v>
      </c>
      <c r="E63" s="11" t="s">
        <v>202</v>
      </c>
      <c r="F63" s="11" t="s">
        <v>226</v>
      </c>
      <c r="G63" s="11" t="s">
        <v>297</v>
      </c>
      <c r="H63" s="11" t="s">
        <v>74</v>
      </c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12">
        <f>VLOOKUP(AB63,바코드찍는곳!B:C,2,0)</f>
        <v>1</v>
      </c>
      <c r="W63" s="21"/>
      <c r="X63" s="22"/>
      <c r="Y63" s="23" t="s">
        <v>75</v>
      </c>
      <c r="Z63" s="23" t="s">
        <v>75</v>
      </c>
      <c r="AA63" s="23" t="s">
        <v>75</v>
      </c>
      <c r="AB63" s="24" t="s">
        <v>376</v>
      </c>
      <c r="AC63" s="22" t="s">
        <v>81</v>
      </c>
      <c r="AD63" s="22" t="s">
        <v>76</v>
      </c>
      <c r="AE63" s="25" t="s">
        <v>344</v>
      </c>
      <c r="AF63" s="11"/>
      <c r="AG63" s="11" t="s">
        <v>363</v>
      </c>
      <c r="AH63" s="11" t="s">
        <v>79</v>
      </c>
      <c r="AI63" s="11" t="s">
        <v>80</v>
      </c>
      <c r="AJ63" s="28"/>
      <c r="AK63" s="28"/>
      <c r="AL63" s="28"/>
      <c r="AM63" s="29"/>
      <c r="AN63" s="33"/>
      <c r="AO63" s="34"/>
      <c r="AP63" s="31"/>
    </row>
    <row r="64" spans="1:42" ht="24.95" customHeight="1" x14ac:dyDescent="0.3">
      <c r="A64" s="11">
        <v>2732</v>
      </c>
      <c r="B64" s="11" t="s">
        <v>120</v>
      </c>
      <c r="C64" s="11" t="s">
        <v>134</v>
      </c>
      <c r="D64" s="11" t="s">
        <v>174</v>
      </c>
      <c r="E64" s="11" t="s">
        <v>203</v>
      </c>
      <c r="F64" s="11" t="s">
        <v>227</v>
      </c>
      <c r="G64" s="11" t="s">
        <v>298</v>
      </c>
      <c r="H64" s="11" t="s">
        <v>74</v>
      </c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12">
        <f>VLOOKUP(AB64,바코드찍는곳!B:C,2,0)</f>
        <v>1</v>
      </c>
      <c r="W64" s="21"/>
      <c r="X64" s="22"/>
      <c r="Y64" s="23" t="s">
        <v>75</v>
      </c>
      <c r="Z64" s="23" t="s">
        <v>75</v>
      </c>
      <c r="AA64" s="23" t="s">
        <v>75</v>
      </c>
      <c r="AB64" s="24" t="s">
        <v>379</v>
      </c>
      <c r="AC64" s="22" t="s">
        <v>81</v>
      </c>
      <c r="AD64" s="22" t="s">
        <v>76</v>
      </c>
      <c r="AE64" s="25" t="s">
        <v>355</v>
      </c>
      <c r="AF64" s="11"/>
      <c r="AG64" s="11" t="s">
        <v>365</v>
      </c>
      <c r="AH64" s="11" t="s">
        <v>79</v>
      </c>
      <c r="AI64" s="11" t="s">
        <v>80</v>
      </c>
      <c r="AJ64" s="28"/>
      <c r="AK64" s="28"/>
      <c r="AL64" s="28"/>
      <c r="AM64" s="29"/>
      <c r="AN64" s="33"/>
      <c r="AO64" s="34"/>
      <c r="AP64" s="31"/>
    </row>
    <row r="65" spans="1:42" ht="24.95" customHeight="1" x14ac:dyDescent="0.3">
      <c r="A65" s="11">
        <v>2733</v>
      </c>
      <c r="B65" s="11" t="s">
        <v>120</v>
      </c>
      <c r="C65" s="11" t="s">
        <v>135</v>
      </c>
      <c r="D65" s="11" t="s">
        <v>174</v>
      </c>
      <c r="E65" s="11" t="s">
        <v>203</v>
      </c>
      <c r="F65" s="11" t="s">
        <v>227</v>
      </c>
      <c r="G65" s="11" t="s">
        <v>299</v>
      </c>
      <c r="H65" s="11" t="s">
        <v>74</v>
      </c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12">
        <f>VLOOKUP(AB65,바코드찍는곳!B:C,2,0)</f>
        <v>1</v>
      </c>
      <c r="W65" s="21"/>
      <c r="X65" s="22"/>
      <c r="Y65" s="23" t="s">
        <v>75</v>
      </c>
      <c r="Z65" s="23" t="s">
        <v>75</v>
      </c>
      <c r="AA65" s="23" t="s">
        <v>75</v>
      </c>
      <c r="AB65" s="24" t="s">
        <v>380</v>
      </c>
      <c r="AC65" s="22" t="s">
        <v>81</v>
      </c>
      <c r="AD65" s="22" t="s">
        <v>76</v>
      </c>
      <c r="AE65" s="25" t="s">
        <v>352</v>
      </c>
      <c r="AF65" s="11"/>
      <c r="AG65" s="11" t="s">
        <v>365</v>
      </c>
      <c r="AH65" s="11" t="s">
        <v>79</v>
      </c>
      <c r="AI65" s="11" t="s">
        <v>80</v>
      </c>
      <c r="AJ65" s="28"/>
      <c r="AK65" s="28"/>
      <c r="AL65" s="28"/>
      <c r="AM65" s="29"/>
      <c r="AN65" s="33"/>
      <c r="AO65" s="34"/>
      <c r="AP65" s="31"/>
    </row>
    <row r="66" spans="1:42" ht="24.95" customHeight="1" x14ac:dyDescent="0.3">
      <c r="A66" s="11">
        <v>2736</v>
      </c>
      <c r="B66" s="11" t="s">
        <v>120</v>
      </c>
      <c r="C66" s="11" t="s">
        <v>138</v>
      </c>
      <c r="D66" s="11" t="s">
        <v>174</v>
      </c>
      <c r="E66" s="11" t="s">
        <v>203</v>
      </c>
      <c r="F66" s="11" t="s">
        <v>227</v>
      </c>
      <c r="G66" s="11" t="s">
        <v>300</v>
      </c>
      <c r="H66" s="11" t="s">
        <v>74</v>
      </c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12">
        <f>VLOOKUP(AB66,바코드찍는곳!B:C,2,0)</f>
        <v>1</v>
      </c>
      <c r="W66" s="21"/>
      <c r="X66" s="22"/>
      <c r="Y66" s="23" t="s">
        <v>75</v>
      </c>
      <c r="Z66" s="23" t="s">
        <v>75</v>
      </c>
      <c r="AA66" s="23" t="s">
        <v>75</v>
      </c>
      <c r="AB66" s="24" t="s">
        <v>383</v>
      </c>
      <c r="AC66" s="22" t="s">
        <v>81</v>
      </c>
      <c r="AD66" s="22" t="s">
        <v>76</v>
      </c>
      <c r="AE66" s="25" t="s">
        <v>356</v>
      </c>
      <c r="AF66" s="11"/>
      <c r="AG66" s="11" t="s">
        <v>365</v>
      </c>
      <c r="AH66" s="11" t="s">
        <v>79</v>
      </c>
      <c r="AI66" s="11" t="s">
        <v>80</v>
      </c>
      <c r="AJ66" s="28"/>
      <c r="AK66" s="28"/>
      <c r="AL66" s="28"/>
      <c r="AM66" s="29"/>
      <c r="AN66" s="33"/>
      <c r="AO66" s="34"/>
      <c r="AP66" s="31"/>
    </row>
    <row r="67" spans="1:42" ht="24.95" customHeight="1" x14ac:dyDescent="0.3">
      <c r="A67" s="11">
        <v>2737</v>
      </c>
      <c r="B67" s="11" t="s">
        <v>120</v>
      </c>
      <c r="C67" s="11" t="s">
        <v>139</v>
      </c>
      <c r="D67" s="11" t="s">
        <v>174</v>
      </c>
      <c r="E67" s="11" t="s">
        <v>203</v>
      </c>
      <c r="F67" s="11" t="s">
        <v>227</v>
      </c>
      <c r="G67" s="11" t="s">
        <v>301</v>
      </c>
      <c r="H67" s="11" t="s">
        <v>74</v>
      </c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12">
        <f>VLOOKUP(AB67,바코드찍는곳!B:C,2,0)</f>
        <v>1</v>
      </c>
      <c r="W67" s="21"/>
      <c r="X67" s="22"/>
      <c r="Y67" s="23" t="s">
        <v>75</v>
      </c>
      <c r="Z67" s="23" t="s">
        <v>75</v>
      </c>
      <c r="AA67" s="23" t="s">
        <v>75</v>
      </c>
      <c r="AB67" s="24" t="s">
        <v>384</v>
      </c>
      <c r="AC67" s="22" t="s">
        <v>81</v>
      </c>
      <c r="AD67" s="22" t="s">
        <v>76</v>
      </c>
      <c r="AE67" s="25" t="s">
        <v>355</v>
      </c>
      <c r="AF67" s="11"/>
      <c r="AG67" s="11" t="s">
        <v>365</v>
      </c>
      <c r="AH67" s="11" t="s">
        <v>79</v>
      </c>
      <c r="AI67" s="11" t="s">
        <v>80</v>
      </c>
      <c r="AJ67" s="28"/>
      <c r="AK67" s="28"/>
      <c r="AL67" s="28"/>
      <c r="AM67" s="29"/>
      <c r="AN67" s="33"/>
      <c r="AO67" s="34"/>
      <c r="AP67" s="31"/>
    </row>
    <row r="68" spans="1:42" ht="24.95" customHeight="1" x14ac:dyDescent="0.3">
      <c r="A68" s="11">
        <v>2740</v>
      </c>
      <c r="B68" s="11" t="s">
        <v>120</v>
      </c>
      <c r="C68" s="11" t="s">
        <v>156</v>
      </c>
      <c r="D68" s="11" t="s">
        <v>174</v>
      </c>
      <c r="E68" s="11" t="s">
        <v>203</v>
      </c>
      <c r="F68" s="11" t="s">
        <v>227</v>
      </c>
      <c r="G68" s="11" t="s">
        <v>302</v>
      </c>
      <c r="H68" s="11" t="s">
        <v>74</v>
      </c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12">
        <f>VLOOKUP(AB68,바코드찍는곳!B:C,2,0)</f>
        <v>2</v>
      </c>
      <c r="W68" s="21"/>
      <c r="X68" s="22"/>
      <c r="Y68" s="23" t="s">
        <v>75</v>
      </c>
      <c r="Z68" s="23" t="s">
        <v>75</v>
      </c>
      <c r="AA68" s="23" t="s">
        <v>75</v>
      </c>
      <c r="AB68" s="24" t="s">
        <v>382</v>
      </c>
      <c r="AC68" s="22" t="s">
        <v>81</v>
      </c>
      <c r="AD68" s="22" t="s">
        <v>76</v>
      </c>
      <c r="AE68" s="25" t="s">
        <v>350</v>
      </c>
      <c r="AF68" s="11"/>
      <c r="AG68" s="11" t="s">
        <v>365</v>
      </c>
      <c r="AH68" s="11" t="s">
        <v>79</v>
      </c>
      <c r="AI68" s="11" t="s">
        <v>80</v>
      </c>
      <c r="AJ68" s="28"/>
      <c r="AK68" s="28"/>
      <c r="AL68" s="28"/>
      <c r="AM68" s="29"/>
      <c r="AN68" s="33"/>
      <c r="AO68" s="34"/>
      <c r="AP68" s="31"/>
    </row>
    <row r="69" spans="1:42" ht="24.95" customHeight="1" x14ac:dyDescent="0.3">
      <c r="A69" s="11">
        <v>2745</v>
      </c>
      <c r="B69" s="11" t="s">
        <v>120</v>
      </c>
      <c r="C69" s="11" t="s">
        <v>145</v>
      </c>
      <c r="D69" s="11" t="s">
        <v>174</v>
      </c>
      <c r="E69" s="11" t="s">
        <v>203</v>
      </c>
      <c r="F69" s="11" t="s">
        <v>227</v>
      </c>
      <c r="G69" s="11" t="s">
        <v>303</v>
      </c>
      <c r="H69" s="11" t="s">
        <v>74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12">
        <f>VLOOKUP(AB69,바코드찍는곳!B:C,2,0)</f>
        <v>2</v>
      </c>
      <c r="W69" s="21"/>
      <c r="X69" s="22"/>
      <c r="Y69" s="23" t="s">
        <v>75</v>
      </c>
      <c r="Z69" s="23" t="s">
        <v>75</v>
      </c>
      <c r="AA69" s="23" t="s">
        <v>75</v>
      </c>
      <c r="AB69" s="24" t="s">
        <v>381</v>
      </c>
      <c r="AC69" s="22" t="s">
        <v>81</v>
      </c>
      <c r="AD69" s="22" t="s">
        <v>76</v>
      </c>
      <c r="AE69" s="25" t="s">
        <v>352</v>
      </c>
      <c r="AF69" s="11"/>
      <c r="AG69" s="11" t="s">
        <v>365</v>
      </c>
      <c r="AH69" s="11" t="s">
        <v>79</v>
      </c>
      <c r="AI69" s="11" t="s">
        <v>80</v>
      </c>
      <c r="AJ69" s="28"/>
      <c r="AK69" s="28"/>
      <c r="AL69" s="28"/>
      <c r="AM69" s="29"/>
      <c r="AN69" s="33"/>
      <c r="AO69" s="34"/>
      <c r="AP69" s="31"/>
    </row>
    <row r="70" spans="1:42" ht="24.95" customHeight="1" x14ac:dyDescent="0.3">
      <c r="A70" s="11">
        <v>2779</v>
      </c>
      <c r="B70" s="11" t="s">
        <v>121</v>
      </c>
      <c r="C70" s="11" t="s">
        <v>139</v>
      </c>
      <c r="D70" s="11" t="s">
        <v>186</v>
      </c>
      <c r="E70" s="11" t="s">
        <v>204</v>
      </c>
      <c r="F70" s="11" t="s">
        <v>228</v>
      </c>
      <c r="G70" s="11" t="s">
        <v>304</v>
      </c>
      <c r="H70" s="11" t="s">
        <v>74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12">
        <f>VLOOKUP(AB70,바코드찍는곳!B:C,2,0)</f>
        <v>3</v>
      </c>
      <c r="W70" s="21"/>
      <c r="X70" s="22"/>
      <c r="Y70" s="23" t="s">
        <v>75</v>
      </c>
      <c r="Z70" s="23" t="s">
        <v>75</v>
      </c>
      <c r="AA70" s="23" t="s">
        <v>75</v>
      </c>
      <c r="AB70" s="24" t="s">
        <v>377</v>
      </c>
      <c r="AC70" s="22" t="s">
        <v>81</v>
      </c>
      <c r="AD70" s="22" t="s">
        <v>76</v>
      </c>
      <c r="AE70" s="25" t="s">
        <v>346</v>
      </c>
      <c r="AF70" s="11"/>
      <c r="AG70" s="11" t="s">
        <v>78</v>
      </c>
      <c r="AH70" s="11" t="s">
        <v>79</v>
      </c>
      <c r="AI70" s="11" t="s">
        <v>80</v>
      </c>
      <c r="AJ70" s="28"/>
      <c r="AK70" s="28"/>
      <c r="AL70" s="28"/>
      <c r="AM70" s="29"/>
      <c r="AN70" s="33"/>
      <c r="AO70" s="34"/>
      <c r="AP70" s="31"/>
    </row>
    <row r="71" spans="1:42" ht="24.95" customHeight="1" x14ac:dyDescent="0.3">
      <c r="A71" s="11">
        <v>2781</v>
      </c>
      <c r="B71" s="11" t="s">
        <v>121</v>
      </c>
      <c r="C71" s="11" t="s">
        <v>140</v>
      </c>
      <c r="D71" s="11" t="s">
        <v>186</v>
      </c>
      <c r="E71" s="11" t="s">
        <v>204</v>
      </c>
      <c r="F71" s="11" t="s">
        <v>228</v>
      </c>
      <c r="G71" s="11" t="s">
        <v>305</v>
      </c>
      <c r="H71" s="11" t="s">
        <v>74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12">
        <f>VLOOKUP(AB71,바코드찍는곳!B:C,2,0)</f>
        <v>2</v>
      </c>
      <c r="W71" s="21"/>
      <c r="X71" s="22"/>
      <c r="Y71" s="23" t="s">
        <v>75</v>
      </c>
      <c r="Z71" s="23" t="s">
        <v>75</v>
      </c>
      <c r="AA71" s="23" t="s">
        <v>75</v>
      </c>
      <c r="AB71" s="24" t="s">
        <v>378</v>
      </c>
      <c r="AC71" s="22" t="s">
        <v>81</v>
      </c>
      <c r="AD71" s="22" t="s">
        <v>76</v>
      </c>
      <c r="AE71" s="25" t="s">
        <v>346</v>
      </c>
      <c r="AF71" s="11"/>
      <c r="AG71" s="11" t="s">
        <v>78</v>
      </c>
      <c r="AH71" s="11" t="s">
        <v>79</v>
      </c>
      <c r="AI71" s="11" t="s">
        <v>80</v>
      </c>
      <c r="AJ71" s="28"/>
      <c r="AK71" s="28"/>
      <c r="AL71" s="28"/>
      <c r="AM71" s="29"/>
      <c r="AN71" s="33"/>
      <c r="AO71" s="34"/>
      <c r="AP71" s="31"/>
    </row>
    <row r="72" spans="1:42" ht="24.95" customHeight="1" x14ac:dyDescent="0.3">
      <c r="A72" s="11">
        <v>2918</v>
      </c>
      <c r="B72" s="11" t="s">
        <v>122</v>
      </c>
      <c r="C72" s="11" t="s">
        <v>158</v>
      </c>
      <c r="D72" s="11" t="s">
        <v>172</v>
      </c>
      <c r="E72" s="11" t="s">
        <v>206</v>
      </c>
      <c r="F72" s="11" t="s">
        <v>229</v>
      </c>
      <c r="G72" s="11" t="s">
        <v>306</v>
      </c>
      <c r="H72" s="11" t="s">
        <v>74</v>
      </c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12">
        <f>VLOOKUP(AB72,바코드찍는곳!B:C,2,0)</f>
        <v>1</v>
      </c>
      <c r="W72" s="21"/>
      <c r="X72" s="22"/>
      <c r="Y72" s="23" t="s">
        <v>75</v>
      </c>
      <c r="Z72" s="23" t="s">
        <v>75</v>
      </c>
      <c r="AA72" s="23" t="s">
        <v>75</v>
      </c>
      <c r="AB72" s="24" t="s">
        <v>398</v>
      </c>
      <c r="AC72" s="22" t="s">
        <v>81</v>
      </c>
      <c r="AD72" s="22" t="s">
        <v>76</v>
      </c>
      <c r="AE72" s="25" t="s">
        <v>77</v>
      </c>
      <c r="AF72" s="11"/>
      <c r="AG72" s="11" t="s">
        <v>363</v>
      </c>
      <c r="AH72" s="11" t="s">
        <v>79</v>
      </c>
      <c r="AI72" s="11" t="s">
        <v>80</v>
      </c>
      <c r="AJ72" s="28"/>
      <c r="AK72" s="28"/>
      <c r="AL72" s="28"/>
      <c r="AM72" s="29"/>
      <c r="AN72" s="33"/>
      <c r="AO72" s="34"/>
      <c r="AP72" s="31"/>
    </row>
    <row r="73" spans="1:42" ht="24.95" customHeight="1" x14ac:dyDescent="0.3">
      <c r="A73" s="11">
        <v>2919</v>
      </c>
      <c r="B73" s="11" t="s">
        <v>122</v>
      </c>
      <c r="C73" s="11" t="s">
        <v>159</v>
      </c>
      <c r="D73" s="11" t="s">
        <v>172</v>
      </c>
      <c r="E73" s="11" t="s">
        <v>206</v>
      </c>
      <c r="F73" s="11" t="s">
        <v>229</v>
      </c>
      <c r="G73" s="11" t="s">
        <v>307</v>
      </c>
      <c r="H73" s="11" t="s">
        <v>74</v>
      </c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12">
        <f>VLOOKUP(AB73,바코드찍는곳!B:C,2,0)</f>
        <v>1</v>
      </c>
      <c r="W73" s="21"/>
      <c r="X73" s="22"/>
      <c r="Y73" s="23" t="s">
        <v>75</v>
      </c>
      <c r="Z73" s="23" t="s">
        <v>75</v>
      </c>
      <c r="AA73" s="23" t="s">
        <v>75</v>
      </c>
      <c r="AB73" s="24" t="s">
        <v>399</v>
      </c>
      <c r="AC73" s="22" t="s">
        <v>81</v>
      </c>
      <c r="AD73" s="22" t="s">
        <v>76</v>
      </c>
      <c r="AE73" s="25" t="s">
        <v>72</v>
      </c>
      <c r="AF73" s="11"/>
      <c r="AG73" s="11" t="s">
        <v>363</v>
      </c>
      <c r="AH73" s="11" t="s">
        <v>79</v>
      </c>
      <c r="AI73" s="11" t="s">
        <v>80</v>
      </c>
      <c r="AJ73" s="28"/>
      <c r="AK73" s="28"/>
      <c r="AL73" s="28"/>
      <c r="AM73" s="29"/>
      <c r="AN73" s="33"/>
      <c r="AO73" s="34"/>
      <c r="AP73" s="31"/>
    </row>
    <row r="74" spans="1:42" ht="24.95" customHeight="1" x14ac:dyDescent="0.3">
      <c r="A74" s="11">
        <v>2955</v>
      </c>
      <c r="B74" s="11" t="s">
        <v>123</v>
      </c>
      <c r="C74" s="11" t="s">
        <v>73</v>
      </c>
      <c r="D74" s="11" t="s">
        <v>182</v>
      </c>
      <c r="E74" s="11" t="s">
        <v>207</v>
      </c>
      <c r="F74" s="11" t="s">
        <v>230</v>
      </c>
      <c r="G74" s="11" t="s">
        <v>308</v>
      </c>
      <c r="H74" s="11" t="s">
        <v>74</v>
      </c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12">
        <f>VLOOKUP(AB74,바코드찍는곳!B:C,2,0)</f>
        <v>2</v>
      </c>
      <c r="W74" s="21"/>
      <c r="X74" s="22"/>
      <c r="Y74" s="23" t="s">
        <v>75</v>
      </c>
      <c r="Z74" s="23" t="s">
        <v>75</v>
      </c>
      <c r="AA74" s="23" t="s">
        <v>75</v>
      </c>
      <c r="AB74" s="24" t="s">
        <v>403</v>
      </c>
      <c r="AC74" s="22" t="s">
        <v>81</v>
      </c>
      <c r="AD74" s="22" t="s">
        <v>76</v>
      </c>
      <c r="AE74" s="25" t="s">
        <v>344</v>
      </c>
      <c r="AF74" s="11"/>
      <c r="AG74" s="11" t="s">
        <v>78</v>
      </c>
      <c r="AH74" s="11" t="s">
        <v>79</v>
      </c>
      <c r="AI74" s="11" t="s">
        <v>80</v>
      </c>
      <c r="AJ74" s="28"/>
      <c r="AK74" s="28"/>
      <c r="AL74" s="28"/>
      <c r="AM74" s="29"/>
      <c r="AN74" s="33"/>
      <c r="AO74" s="34"/>
      <c r="AP74" s="31"/>
    </row>
    <row r="75" spans="1:42" ht="24.95" customHeight="1" x14ac:dyDescent="0.3">
      <c r="A75" s="11">
        <v>2957</v>
      </c>
      <c r="B75" s="11" t="s">
        <v>123</v>
      </c>
      <c r="C75" s="11" t="s">
        <v>92</v>
      </c>
      <c r="D75" s="11" t="s">
        <v>182</v>
      </c>
      <c r="E75" s="11" t="s">
        <v>207</v>
      </c>
      <c r="F75" s="11" t="s">
        <v>230</v>
      </c>
      <c r="G75" s="11" t="s">
        <v>309</v>
      </c>
      <c r="H75" s="11" t="s">
        <v>74</v>
      </c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12">
        <f>VLOOKUP(AB75,바코드찍는곳!B:C,2,0)</f>
        <v>2</v>
      </c>
      <c r="W75" s="21"/>
      <c r="X75" s="22"/>
      <c r="Y75" s="23" t="s">
        <v>75</v>
      </c>
      <c r="Z75" s="23" t="s">
        <v>75</v>
      </c>
      <c r="AA75" s="23" t="s">
        <v>75</v>
      </c>
      <c r="AB75" s="24" t="s">
        <v>400</v>
      </c>
      <c r="AC75" s="22" t="s">
        <v>81</v>
      </c>
      <c r="AD75" s="22" t="s">
        <v>76</v>
      </c>
      <c r="AE75" s="25" t="s">
        <v>344</v>
      </c>
      <c r="AF75" s="11"/>
      <c r="AG75" s="11" t="s">
        <v>78</v>
      </c>
      <c r="AH75" s="11" t="s">
        <v>79</v>
      </c>
      <c r="AI75" s="11" t="s">
        <v>80</v>
      </c>
      <c r="AJ75" s="28"/>
      <c r="AK75" s="28"/>
      <c r="AL75" s="28"/>
      <c r="AM75" s="29"/>
      <c r="AN75" s="33"/>
      <c r="AO75" s="34"/>
      <c r="AP75" s="31"/>
    </row>
    <row r="76" spans="1:42" ht="24.95" customHeight="1" x14ac:dyDescent="0.3">
      <c r="A76" s="11">
        <v>2958</v>
      </c>
      <c r="B76" s="11" t="s">
        <v>123</v>
      </c>
      <c r="C76" s="11" t="s">
        <v>84</v>
      </c>
      <c r="D76" s="11" t="s">
        <v>182</v>
      </c>
      <c r="E76" s="11" t="s">
        <v>207</v>
      </c>
      <c r="F76" s="11" t="s">
        <v>230</v>
      </c>
      <c r="G76" s="11" t="s">
        <v>310</v>
      </c>
      <c r="H76" s="11" t="s">
        <v>74</v>
      </c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12">
        <f>VLOOKUP(AB76,바코드찍는곳!B:C,2,0)</f>
        <v>5</v>
      </c>
      <c r="W76" s="21"/>
      <c r="X76" s="22"/>
      <c r="Y76" s="23" t="s">
        <v>75</v>
      </c>
      <c r="Z76" s="23" t="s">
        <v>75</v>
      </c>
      <c r="AA76" s="23" t="s">
        <v>75</v>
      </c>
      <c r="AB76" s="24" t="s">
        <v>404</v>
      </c>
      <c r="AC76" s="22" t="s">
        <v>81</v>
      </c>
      <c r="AD76" s="22" t="s">
        <v>76</v>
      </c>
      <c r="AE76" s="25" t="s">
        <v>344</v>
      </c>
      <c r="AF76" s="11"/>
      <c r="AG76" s="11" t="s">
        <v>78</v>
      </c>
      <c r="AH76" s="11" t="s">
        <v>79</v>
      </c>
      <c r="AI76" s="11" t="s">
        <v>80</v>
      </c>
      <c r="AJ76" s="28"/>
      <c r="AK76" s="28"/>
      <c r="AL76" s="28"/>
      <c r="AM76" s="29"/>
      <c r="AN76" s="33"/>
      <c r="AO76" s="34"/>
      <c r="AP76" s="31"/>
    </row>
    <row r="77" spans="1:42" ht="24.95" customHeight="1" x14ac:dyDescent="0.3">
      <c r="A77" s="11">
        <v>2960</v>
      </c>
      <c r="B77" s="11" t="s">
        <v>123</v>
      </c>
      <c r="C77" s="11" t="s">
        <v>93</v>
      </c>
      <c r="D77" s="11" t="s">
        <v>182</v>
      </c>
      <c r="E77" s="11" t="s">
        <v>207</v>
      </c>
      <c r="F77" s="11" t="s">
        <v>230</v>
      </c>
      <c r="G77" s="11" t="s">
        <v>311</v>
      </c>
      <c r="H77" s="11" t="s">
        <v>74</v>
      </c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12">
        <f>VLOOKUP(AB77,바코드찍는곳!B:C,2,0)</f>
        <v>5</v>
      </c>
      <c r="W77" s="21"/>
      <c r="X77" s="22"/>
      <c r="Y77" s="23" t="s">
        <v>75</v>
      </c>
      <c r="Z77" s="23" t="s">
        <v>75</v>
      </c>
      <c r="AA77" s="23" t="s">
        <v>75</v>
      </c>
      <c r="AB77" s="24" t="s">
        <v>401</v>
      </c>
      <c r="AC77" s="22" t="s">
        <v>81</v>
      </c>
      <c r="AD77" s="22" t="s">
        <v>76</v>
      </c>
      <c r="AE77" s="25" t="s">
        <v>346</v>
      </c>
      <c r="AF77" s="11"/>
      <c r="AG77" s="11" t="s">
        <v>78</v>
      </c>
      <c r="AH77" s="11" t="s">
        <v>79</v>
      </c>
      <c r="AI77" s="11" t="s">
        <v>80</v>
      </c>
      <c r="AJ77" s="28"/>
      <c r="AK77" s="28"/>
      <c r="AL77" s="28"/>
      <c r="AM77" s="29"/>
      <c r="AN77" s="33"/>
      <c r="AO77" s="34"/>
      <c r="AP77" s="31"/>
    </row>
    <row r="78" spans="1:42" ht="24.95" customHeight="1" x14ac:dyDescent="0.3">
      <c r="A78" s="11">
        <v>2961</v>
      </c>
      <c r="B78" s="11" t="s">
        <v>123</v>
      </c>
      <c r="C78" s="11" t="s">
        <v>85</v>
      </c>
      <c r="D78" s="11" t="s">
        <v>182</v>
      </c>
      <c r="E78" s="11" t="s">
        <v>207</v>
      </c>
      <c r="F78" s="11" t="s">
        <v>230</v>
      </c>
      <c r="G78" s="11" t="s">
        <v>312</v>
      </c>
      <c r="H78" s="11" t="s">
        <v>74</v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12">
        <f>VLOOKUP(AB78,바코드찍는곳!B:C,2,0)</f>
        <v>2</v>
      </c>
      <c r="W78" s="21"/>
      <c r="X78" s="22"/>
      <c r="Y78" s="23" t="s">
        <v>75</v>
      </c>
      <c r="Z78" s="23" t="s">
        <v>75</v>
      </c>
      <c r="AA78" s="23" t="s">
        <v>75</v>
      </c>
      <c r="AB78" s="24" t="s">
        <v>405</v>
      </c>
      <c r="AC78" s="22" t="s">
        <v>81</v>
      </c>
      <c r="AD78" s="22" t="s">
        <v>76</v>
      </c>
      <c r="AE78" s="25" t="s">
        <v>344</v>
      </c>
      <c r="AF78" s="11"/>
      <c r="AG78" s="11" t="s">
        <v>78</v>
      </c>
      <c r="AH78" s="11" t="s">
        <v>79</v>
      </c>
      <c r="AI78" s="11" t="s">
        <v>80</v>
      </c>
      <c r="AJ78" s="28"/>
      <c r="AK78" s="28"/>
      <c r="AL78" s="28"/>
      <c r="AM78" s="29"/>
      <c r="AN78" s="33"/>
      <c r="AO78" s="34"/>
      <c r="AP78" s="31"/>
    </row>
    <row r="79" spans="1:42" ht="24.95" customHeight="1" x14ac:dyDescent="0.3">
      <c r="A79" s="11">
        <v>2964</v>
      </c>
      <c r="B79" s="11" t="s">
        <v>123</v>
      </c>
      <c r="C79" s="11" t="s">
        <v>86</v>
      </c>
      <c r="D79" s="11" t="s">
        <v>182</v>
      </c>
      <c r="E79" s="11" t="s">
        <v>207</v>
      </c>
      <c r="F79" s="11" t="s">
        <v>230</v>
      </c>
      <c r="G79" s="11" t="s">
        <v>313</v>
      </c>
      <c r="H79" s="11" t="s">
        <v>74</v>
      </c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12">
        <f>VLOOKUP(AB79,바코드찍는곳!B:C,2,0)</f>
        <v>2</v>
      </c>
      <c r="W79" s="21"/>
      <c r="X79" s="22"/>
      <c r="Y79" s="23" t="s">
        <v>75</v>
      </c>
      <c r="Z79" s="23" t="s">
        <v>75</v>
      </c>
      <c r="AA79" s="23" t="s">
        <v>75</v>
      </c>
      <c r="AB79" s="24" t="s">
        <v>406</v>
      </c>
      <c r="AC79" s="22" t="s">
        <v>81</v>
      </c>
      <c r="AD79" s="22" t="s">
        <v>76</v>
      </c>
      <c r="AE79" s="25" t="s">
        <v>344</v>
      </c>
      <c r="AF79" s="11"/>
      <c r="AG79" s="11" t="s">
        <v>78</v>
      </c>
      <c r="AH79" s="11" t="s">
        <v>79</v>
      </c>
      <c r="AI79" s="11" t="s">
        <v>80</v>
      </c>
      <c r="AJ79" s="28"/>
      <c r="AK79" s="28"/>
      <c r="AL79" s="28"/>
      <c r="AM79" s="29"/>
      <c r="AN79" s="33"/>
      <c r="AO79" s="34"/>
      <c r="AP79" s="31"/>
    </row>
    <row r="80" spans="1:42" ht="24.95" customHeight="1" x14ac:dyDescent="0.3">
      <c r="A80" s="11">
        <v>2966</v>
      </c>
      <c r="B80" s="11" t="s">
        <v>123</v>
      </c>
      <c r="C80" s="11" t="s">
        <v>95</v>
      </c>
      <c r="D80" s="11" t="s">
        <v>182</v>
      </c>
      <c r="E80" s="11" t="s">
        <v>207</v>
      </c>
      <c r="F80" s="11" t="s">
        <v>230</v>
      </c>
      <c r="G80" s="11" t="s">
        <v>314</v>
      </c>
      <c r="H80" s="11" t="s">
        <v>74</v>
      </c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12">
        <f>VLOOKUP(AB80,바코드찍는곳!B:C,2,0)</f>
        <v>2</v>
      </c>
      <c r="W80" s="21"/>
      <c r="X80" s="22"/>
      <c r="Y80" s="23" t="s">
        <v>75</v>
      </c>
      <c r="Z80" s="23" t="s">
        <v>75</v>
      </c>
      <c r="AA80" s="23" t="s">
        <v>75</v>
      </c>
      <c r="AB80" s="24" t="s">
        <v>402</v>
      </c>
      <c r="AC80" s="22" t="s">
        <v>81</v>
      </c>
      <c r="AD80" s="22" t="s">
        <v>76</v>
      </c>
      <c r="AE80" s="25" t="s">
        <v>72</v>
      </c>
      <c r="AF80" s="11"/>
      <c r="AG80" s="11" t="s">
        <v>78</v>
      </c>
      <c r="AH80" s="11" t="s">
        <v>79</v>
      </c>
      <c r="AI80" s="11" t="s">
        <v>80</v>
      </c>
      <c r="AJ80" s="28"/>
      <c r="AK80" s="28"/>
      <c r="AL80" s="28"/>
      <c r="AM80" s="29"/>
      <c r="AN80" s="33"/>
      <c r="AO80" s="34"/>
      <c r="AP80" s="31"/>
    </row>
    <row r="81" spans="1:42" ht="24.95" customHeight="1" x14ac:dyDescent="0.3">
      <c r="A81" s="11">
        <v>2967</v>
      </c>
      <c r="B81" s="11" t="s">
        <v>123</v>
      </c>
      <c r="C81" s="11" t="s">
        <v>87</v>
      </c>
      <c r="D81" s="11" t="s">
        <v>182</v>
      </c>
      <c r="E81" s="11" t="s">
        <v>207</v>
      </c>
      <c r="F81" s="11" t="s">
        <v>230</v>
      </c>
      <c r="G81" s="11" t="s">
        <v>315</v>
      </c>
      <c r="H81" s="11" t="s">
        <v>74</v>
      </c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12">
        <f>VLOOKUP(AB81,바코드찍는곳!B:C,2,0)</f>
        <v>5</v>
      </c>
      <c r="W81" s="21"/>
      <c r="X81" s="22"/>
      <c r="Y81" s="23" t="s">
        <v>75</v>
      </c>
      <c r="Z81" s="23" t="s">
        <v>75</v>
      </c>
      <c r="AA81" s="23" t="s">
        <v>75</v>
      </c>
      <c r="AB81" s="24" t="s">
        <v>407</v>
      </c>
      <c r="AC81" s="22" t="s">
        <v>81</v>
      </c>
      <c r="AD81" s="22" t="s">
        <v>76</v>
      </c>
      <c r="AE81" s="25" t="s">
        <v>344</v>
      </c>
      <c r="AF81" s="11"/>
      <c r="AG81" s="11" t="s">
        <v>78</v>
      </c>
      <c r="AH81" s="11" t="s">
        <v>79</v>
      </c>
      <c r="AI81" s="11" t="s">
        <v>80</v>
      </c>
      <c r="AJ81" s="28"/>
      <c r="AK81" s="28"/>
      <c r="AL81" s="28"/>
      <c r="AM81" s="29"/>
      <c r="AN81" s="33"/>
      <c r="AO81" s="34"/>
      <c r="AP81" s="31"/>
    </row>
    <row r="82" spans="1:42" ht="24.95" customHeight="1" x14ac:dyDescent="0.3">
      <c r="A82" s="11">
        <v>3022</v>
      </c>
      <c r="B82" s="11" t="s">
        <v>124</v>
      </c>
      <c r="C82" s="11" t="s">
        <v>86</v>
      </c>
      <c r="D82" s="11" t="s">
        <v>187</v>
      </c>
      <c r="E82" s="11" t="s">
        <v>208</v>
      </c>
      <c r="F82" s="11" t="s">
        <v>231</v>
      </c>
      <c r="G82" s="11" t="s">
        <v>316</v>
      </c>
      <c r="H82" s="11" t="s">
        <v>74</v>
      </c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12">
        <f>VLOOKUP(AB82,바코드찍는곳!B:C,2,0)</f>
        <v>1</v>
      </c>
      <c r="W82" s="21"/>
      <c r="X82" s="22"/>
      <c r="Y82" s="23" t="s">
        <v>75</v>
      </c>
      <c r="Z82" s="23" t="s">
        <v>75</v>
      </c>
      <c r="AA82" s="23" t="s">
        <v>75</v>
      </c>
      <c r="AB82" s="24" t="s">
        <v>386</v>
      </c>
      <c r="AC82" s="22" t="s">
        <v>81</v>
      </c>
      <c r="AD82" s="22" t="s">
        <v>76</v>
      </c>
      <c r="AE82" s="25" t="s">
        <v>350</v>
      </c>
      <c r="AF82" s="11"/>
      <c r="AG82" s="11" t="s">
        <v>363</v>
      </c>
      <c r="AH82" s="11" t="s">
        <v>79</v>
      </c>
      <c r="AI82" s="11" t="s">
        <v>80</v>
      </c>
      <c r="AJ82" s="28"/>
      <c r="AK82" s="28"/>
      <c r="AL82" s="28"/>
      <c r="AM82" s="29"/>
      <c r="AN82" s="33"/>
      <c r="AO82" s="34"/>
      <c r="AP82" s="31"/>
    </row>
    <row r="83" spans="1:42" ht="24.95" customHeight="1" x14ac:dyDescent="0.3">
      <c r="A83" s="11">
        <v>3045</v>
      </c>
      <c r="B83" s="11" t="s">
        <v>125</v>
      </c>
      <c r="C83" s="11" t="s">
        <v>93</v>
      </c>
      <c r="D83" s="11" t="s">
        <v>188</v>
      </c>
      <c r="E83" s="11" t="s">
        <v>209</v>
      </c>
      <c r="F83" s="11" t="s">
        <v>232</v>
      </c>
      <c r="G83" s="11" t="s">
        <v>317</v>
      </c>
      <c r="H83" s="11" t="s">
        <v>74</v>
      </c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12">
        <f>VLOOKUP(AB83,바코드찍는곳!B:C,2,0)</f>
        <v>2</v>
      </c>
      <c r="W83" s="21"/>
      <c r="X83" s="22"/>
      <c r="Y83" s="23" t="s">
        <v>75</v>
      </c>
      <c r="Z83" s="23" t="s">
        <v>75</v>
      </c>
      <c r="AA83" s="23" t="s">
        <v>75</v>
      </c>
      <c r="AB83" s="24" t="s">
        <v>387</v>
      </c>
      <c r="AC83" s="22" t="s">
        <v>81</v>
      </c>
      <c r="AD83" s="22" t="s">
        <v>76</v>
      </c>
      <c r="AE83" s="25" t="s">
        <v>344</v>
      </c>
      <c r="AF83" s="11"/>
      <c r="AG83" s="11" t="s">
        <v>78</v>
      </c>
      <c r="AH83" s="11" t="s">
        <v>79</v>
      </c>
      <c r="AI83" s="11" t="s">
        <v>80</v>
      </c>
      <c r="AJ83" s="28"/>
      <c r="AK83" s="28"/>
      <c r="AL83" s="28"/>
      <c r="AM83" s="29"/>
      <c r="AN83" s="33"/>
      <c r="AO83" s="34"/>
      <c r="AP83" s="31"/>
    </row>
    <row r="84" spans="1:42" ht="24.95" customHeight="1" x14ac:dyDescent="0.3">
      <c r="A84" s="11">
        <v>3055</v>
      </c>
      <c r="B84" s="11" t="s">
        <v>125</v>
      </c>
      <c r="C84" s="11" t="s">
        <v>86</v>
      </c>
      <c r="D84" s="11" t="s">
        <v>188</v>
      </c>
      <c r="E84" s="11" t="s">
        <v>209</v>
      </c>
      <c r="F84" s="11" t="s">
        <v>232</v>
      </c>
      <c r="G84" s="11" t="s">
        <v>318</v>
      </c>
      <c r="H84" s="11" t="s">
        <v>74</v>
      </c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12">
        <f>VLOOKUP(AB84,바코드찍는곳!B:C,2,0)</f>
        <v>1</v>
      </c>
      <c r="W84" s="21"/>
      <c r="X84" s="22"/>
      <c r="Y84" s="23" t="s">
        <v>75</v>
      </c>
      <c r="Z84" s="23" t="s">
        <v>75</v>
      </c>
      <c r="AA84" s="23" t="s">
        <v>75</v>
      </c>
      <c r="AB84" s="24" t="s">
        <v>388</v>
      </c>
      <c r="AC84" s="22" t="s">
        <v>81</v>
      </c>
      <c r="AD84" s="22" t="s">
        <v>76</v>
      </c>
      <c r="AE84" s="25" t="s">
        <v>344</v>
      </c>
      <c r="AF84" s="11"/>
      <c r="AG84" s="11" t="s">
        <v>78</v>
      </c>
      <c r="AH84" s="11" t="s">
        <v>79</v>
      </c>
      <c r="AI84" s="11" t="s">
        <v>80</v>
      </c>
      <c r="AJ84" s="28"/>
      <c r="AK84" s="28"/>
      <c r="AL84" s="28"/>
      <c r="AM84" s="29"/>
      <c r="AN84" s="33"/>
      <c r="AO84" s="34"/>
      <c r="AP84" s="31"/>
    </row>
    <row r="85" spans="1:42" ht="24.95" customHeight="1" x14ac:dyDescent="0.3">
      <c r="A85" s="11">
        <v>3057</v>
      </c>
      <c r="B85" s="11" t="s">
        <v>125</v>
      </c>
      <c r="C85" s="11" t="s">
        <v>88</v>
      </c>
      <c r="D85" s="11" t="s">
        <v>188</v>
      </c>
      <c r="E85" s="11" t="s">
        <v>209</v>
      </c>
      <c r="F85" s="11" t="s">
        <v>232</v>
      </c>
      <c r="G85" s="11" t="s">
        <v>319</v>
      </c>
      <c r="H85" s="11" t="s">
        <v>74</v>
      </c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12">
        <f>VLOOKUP(AB85,바코드찍는곳!B:C,2,0)</f>
        <v>1</v>
      </c>
      <c r="W85" s="21"/>
      <c r="X85" s="22"/>
      <c r="Y85" s="23" t="s">
        <v>75</v>
      </c>
      <c r="Z85" s="23" t="s">
        <v>75</v>
      </c>
      <c r="AA85" s="23" t="s">
        <v>75</v>
      </c>
      <c r="AB85" s="24" t="s">
        <v>389</v>
      </c>
      <c r="AC85" s="22" t="s">
        <v>81</v>
      </c>
      <c r="AD85" s="22" t="s">
        <v>76</v>
      </c>
      <c r="AE85" s="25" t="s">
        <v>350</v>
      </c>
      <c r="AF85" s="11"/>
      <c r="AG85" s="11" t="s">
        <v>78</v>
      </c>
      <c r="AH85" s="11" t="s">
        <v>79</v>
      </c>
      <c r="AI85" s="11" t="s">
        <v>80</v>
      </c>
      <c r="AJ85" s="28"/>
      <c r="AK85" s="28"/>
      <c r="AL85" s="28"/>
      <c r="AM85" s="29"/>
      <c r="AN85" s="33"/>
      <c r="AO85" s="34"/>
      <c r="AP85" s="31"/>
    </row>
    <row r="86" spans="1:42" ht="24.95" customHeight="1" x14ac:dyDescent="0.3">
      <c r="A86" s="11">
        <v>3058</v>
      </c>
      <c r="B86" s="11" t="s">
        <v>125</v>
      </c>
      <c r="C86" s="11" t="s">
        <v>89</v>
      </c>
      <c r="D86" s="11" t="s">
        <v>188</v>
      </c>
      <c r="E86" s="11" t="s">
        <v>209</v>
      </c>
      <c r="F86" s="11" t="s">
        <v>232</v>
      </c>
      <c r="G86" s="11" t="s">
        <v>320</v>
      </c>
      <c r="H86" s="11" t="s">
        <v>74</v>
      </c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12">
        <f>VLOOKUP(AB86,바코드찍는곳!B:C,2,0)</f>
        <v>8</v>
      </c>
      <c r="W86" s="21"/>
      <c r="X86" s="22"/>
      <c r="Y86" s="23" t="s">
        <v>75</v>
      </c>
      <c r="Z86" s="23" t="s">
        <v>75</v>
      </c>
      <c r="AA86" s="23" t="s">
        <v>75</v>
      </c>
      <c r="AB86" s="24" t="s">
        <v>390</v>
      </c>
      <c r="AC86" s="22" t="s">
        <v>81</v>
      </c>
      <c r="AD86" s="22" t="s">
        <v>76</v>
      </c>
      <c r="AE86" s="25" t="s">
        <v>346</v>
      </c>
      <c r="AF86" s="11"/>
      <c r="AG86" s="11" t="s">
        <v>78</v>
      </c>
      <c r="AH86" s="11" t="s">
        <v>79</v>
      </c>
      <c r="AI86" s="11" t="s">
        <v>80</v>
      </c>
      <c r="AJ86" s="28"/>
      <c r="AK86" s="28"/>
      <c r="AL86" s="28"/>
      <c r="AM86" s="29"/>
      <c r="AN86" s="33"/>
      <c r="AO86" s="34"/>
      <c r="AP86" s="31"/>
    </row>
    <row r="87" spans="1:42" ht="24.95" customHeight="1" x14ac:dyDescent="0.3">
      <c r="A87" s="11">
        <v>3079</v>
      </c>
      <c r="B87" s="11" t="s">
        <v>126</v>
      </c>
      <c r="C87" s="11" t="s">
        <v>91</v>
      </c>
      <c r="D87" s="11" t="s">
        <v>189</v>
      </c>
      <c r="E87" s="11" t="s">
        <v>210</v>
      </c>
      <c r="F87" s="11" t="s">
        <v>233</v>
      </c>
      <c r="G87" s="11" t="s">
        <v>321</v>
      </c>
      <c r="H87" s="11" t="s">
        <v>74</v>
      </c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12">
        <f>VLOOKUP(AB87,바코드찍는곳!B:C,2,0)</f>
        <v>1</v>
      </c>
      <c r="W87" s="21"/>
      <c r="X87" s="22"/>
      <c r="Y87" s="23" t="s">
        <v>75</v>
      </c>
      <c r="Z87" s="23" t="s">
        <v>75</v>
      </c>
      <c r="AA87" s="23" t="s">
        <v>75</v>
      </c>
      <c r="AB87" s="24" t="s">
        <v>385</v>
      </c>
      <c r="AC87" s="22" t="s">
        <v>81</v>
      </c>
      <c r="AD87" s="22" t="s">
        <v>76</v>
      </c>
      <c r="AE87" s="25" t="s">
        <v>350</v>
      </c>
      <c r="AF87" s="11"/>
      <c r="AG87" s="11" t="s">
        <v>363</v>
      </c>
      <c r="AH87" s="11" t="s">
        <v>79</v>
      </c>
      <c r="AI87" s="11" t="s">
        <v>80</v>
      </c>
      <c r="AJ87" s="28"/>
      <c r="AK87" s="28"/>
      <c r="AL87" s="28"/>
      <c r="AM87" s="29"/>
      <c r="AN87" s="33"/>
      <c r="AO87" s="34"/>
      <c r="AP87" s="31"/>
    </row>
    <row r="88" spans="1:42" ht="24.95" customHeight="1" x14ac:dyDescent="0.3">
      <c r="A88" s="11">
        <v>3281</v>
      </c>
      <c r="B88" s="11" t="s">
        <v>127</v>
      </c>
      <c r="C88" s="11" t="s">
        <v>87</v>
      </c>
      <c r="D88" s="11" t="s">
        <v>179</v>
      </c>
      <c r="E88" s="11" t="s">
        <v>205</v>
      </c>
      <c r="F88" s="11" t="s">
        <v>234</v>
      </c>
      <c r="G88" s="11" t="s">
        <v>322</v>
      </c>
      <c r="H88" s="11" t="s">
        <v>74</v>
      </c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12">
        <f>VLOOKUP(AB88,바코드찍는곳!B:C,2,0)</f>
        <v>1</v>
      </c>
      <c r="W88" s="21"/>
      <c r="X88" s="22"/>
      <c r="Y88" s="23" t="s">
        <v>75</v>
      </c>
      <c r="Z88" s="23" t="s">
        <v>75</v>
      </c>
      <c r="AA88" s="23" t="s">
        <v>75</v>
      </c>
      <c r="AB88" s="24" t="s">
        <v>368</v>
      </c>
      <c r="AC88" s="22" t="s">
        <v>81</v>
      </c>
      <c r="AD88" s="22" t="s">
        <v>76</v>
      </c>
      <c r="AE88" s="25" t="s">
        <v>345</v>
      </c>
      <c r="AF88" s="11"/>
      <c r="AG88" s="11" t="s">
        <v>363</v>
      </c>
      <c r="AH88" s="11" t="s">
        <v>79</v>
      </c>
      <c r="AI88" s="11" t="s">
        <v>80</v>
      </c>
      <c r="AJ88" s="28"/>
      <c r="AK88" s="28"/>
      <c r="AL88" s="28"/>
      <c r="AM88" s="29"/>
      <c r="AN88" s="33"/>
      <c r="AO88" s="34"/>
      <c r="AP88" s="31"/>
    </row>
    <row r="89" spans="1:42" ht="24.95" customHeight="1" x14ac:dyDescent="0.3">
      <c r="A89" s="11">
        <v>3296</v>
      </c>
      <c r="B89" s="11" t="s">
        <v>127</v>
      </c>
      <c r="C89" s="11" t="s">
        <v>98</v>
      </c>
      <c r="D89" s="11" t="s">
        <v>179</v>
      </c>
      <c r="E89" s="11" t="s">
        <v>205</v>
      </c>
      <c r="F89" s="11" t="s">
        <v>234</v>
      </c>
      <c r="G89" s="11" t="s">
        <v>323</v>
      </c>
      <c r="H89" s="11" t="s">
        <v>74</v>
      </c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12">
        <f>VLOOKUP(AB89,바코드찍는곳!B:C,2,0)</f>
        <v>3</v>
      </c>
      <c r="W89" s="21"/>
      <c r="X89" s="22"/>
      <c r="Y89" s="23" t="s">
        <v>75</v>
      </c>
      <c r="Z89" s="23" t="s">
        <v>75</v>
      </c>
      <c r="AA89" s="23" t="s">
        <v>75</v>
      </c>
      <c r="AB89" s="24" t="s">
        <v>367</v>
      </c>
      <c r="AC89" s="22" t="s">
        <v>81</v>
      </c>
      <c r="AD89" s="22" t="s">
        <v>76</v>
      </c>
      <c r="AE89" s="25" t="s">
        <v>346</v>
      </c>
      <c r="AF89" s="11"/>
      <c r="AG89" s="11" t="s">
        <v>363</v>
      </c>
      <c r="AH89" s="11" t="s">
        <v>79</v>
      </c>
      <c r="AI89" s="11" t="s">
        <v>80</v>
      </c>
      <c r="AJ89" s="28"/>
      <c r="AK89" s="28"/>
      <c r="AL89" s="28"/>
      <c r="AM89" s="29"/>
      <c r="AN89" s="33"/>
      <c r="AO89" s="34"/>
      <c r="AP89" s="31"/>
    </row>
    <row r="90" spans="1:42" ht="24.95" customHeight="1" x14ac:dyDescent="0.3">
      <c r="A90" s="11">
        <v>3299</v>
      </c>
      <c r="B90" s="11" t="s">
        <v>128</v>
      </c>
      <c r="C90" s="11" t="s">
        <v>73</v>
      </c>
      <c r="D90" s="11" t="s">
        <v>172</v>
      </c>
      <c r="E90" s="11" t="s">
        <v>211</v>
      </c>
      <c r="F90" s="11" t="s">
        <v>235</v>
      </c>
      <c r="G90" s="11" t="s">
        <v>324</v>
      </c>
      <c r="H90" s="11" t="s">
        <v>74</v>
      </c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12">
        <f>VLOOKUP(AB90,바코드찍는곳!B:C,2,0)</f>
        <v>1</v>
      </c>
      <c r="W90" s="21"/>
      <c r="X90" s="22"/>
      <c r="Y90" s="23" t="s">
        <v>75</v>
      </c>
      <c r="Z90" s="23" t="s">
        <v>75</v>
      </c>
      <c r="AA90" s="23" t="s">
        <v>75</v>
      </c>
      <c r="AB90" s="24" t="s">
        <v>394</v>
      </c>
      <c r="AC90" s="22" t="s">
        <v>81</v>
      </c>
      <c r="AD90" s="22" t="s">
        <v>76</v>
      </c>
      <c r="AE90" s="25" t="s">
        <v>361</v>
      </c>
      <c r="AF90" s="11"/>
      <c r="AG90" s="11" t="s">
        <v>365</v>
      </c>
      <c r="AH90" s="11" t="s">
        <v>79</v>
      </c>
      <c r="AI90" s="11" t="s">
        <v>80</v>
      </c>
      <c r="AJ90" s="28"/>
      <c r="AK90" s="28"/>
      <c r="AL90" s="28"/>
      <c r="AM90" s="29"/>
      <c r="AN90" s="33"/>
      <c r="AO90" s="34"/>
      <c r="AP90" s="31"/>
    </row>
    <row r="91" spans="1:42" ht="24.95" customHeight="1" x14ac:dyDescent="0.3">
      <c r="A91" s="11">
        <v>3306</v>
      </c>
      <c r="B91" s="11" t="s">
        <v>128</v>
      </c>
      <c r="C91" s="11" t="s">
        <v>94</v>
      </c>
      <c r="D91" s="11" t="s">
        <v>172</v>
      </c>
      <c r="E91" s="11" t="s">
        <v>211</v>
      </c>
      <c r="F91" s="11" t="s">
        <v>235</v>
      </c>
      <c r="G91" s="11" t="s">
        <v>325</v>
      </c>
      <c r="H91" s="11" t="s">
        <v>74</v>
      </c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12">
        <f>VLOOKUP(AB91,바코드찍는곳!B:C,2,0)</f>
        <v>2</v>
      </c>
      <c r="W91" s="21"/>
      <c r="X91" s="22"/>
      <c r="Y91" s="23" t="s">
        <v>75</v>
      </c>
      <c r="Z91" s="23" t="s">
        <v>75</v>
      </c>
      <c r="AA91" s="23" t="s">
        <v>75</v>
      </c>
      <c r="AB91" s="24" t="s">
        <v>391</v>
      </c>
      <c r="AC91" s="22" t="s">
        <v>81</v>
      </c>
      <c r="AD91" s="22" t="s">
        <v>76</v>
      </c>
      <c r="AE91" s="25" t="s">
        <v>351</v>
      </c>
      <c r="AF91" s="11"/>
      <c r="AG91" s="11" t="s">
        <v>365</v>
      </c>
      <c r="AH91" s="11" t="s">
        <v>79</v>
      </c>
      <c r="AI91" s="11" t="s">
        <v>80</v>
      </c>
      <c r="AJ91" s="28"/>
      <c r="AK91" s="28"/>
      <c r="AL91" s="28"/>
      <c r="AM91" s="29"/>
      <c r="AN91" s="33"/>
      <c r="AO91" s="34"/>
      <c r="AP91" s="31"/>
    </row>
    <row r="92" spans="1:42" ht="24.95" customHeight="1" x14ac:dyDescent="0.3">
      <c r="A92" s="11">
        <v>3310</v>
      </c>
      <c r="B92" s="11" t="s">
        <v>128</v>
      </c>
      <c r="C92" s="11" t="s">
        <v>96</v>
      </c>
      <c r="D92" s="11" t="s">
        <v>172</v>
      </c>
      <c r="E92" s="11" t="s">
        <v>211</v>
      </c>
      <c r="F92" s="11" t="s">
        <v>235</v>
      </c>
      <c r="G92" s="11" t="s">
        <v>326</v>
      </c>
      <c r="H92" s="11" t="s">
        <v>74</v>
      </c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12">
        <f>VLOOKUP(AB92,바코드찍는곳!B:C,2,0)</f>
        <v>2</v>
      </c>
      <c r="W92" s="21"/>
      <c r="X92" s="22"/>
      <c r="Y92" s="23" t="s">
        <v>75</v>
      </c>
      <c r="Z92" s="23" t="s">
        <v>75</v>
      </c>
      <c r="AA92" s="23" t="s">
        <v>75</v>
      </c>
      <c r="AB92" s="24" t="s">
        <v>392</v>
      </c>
      <c r="AC92" s="22" t="s">
        <v>81</v>
      </c>
      <c r="AD92" s="22" t="s">
        <v>76</v>
      </c>
      <c r="AE92" s="25" t="s">
        <v>354</v>
      </c>
      <c r="AF92" s="11"/>
      <c r="AG92" s="11" t="s">
        <v>365</v>
      </c>
      <c r="AH92" s="11" t="s">
        <v>79</v>
      </c>
      <c r="AI92" s="11" t="s">
        <v>80</v>
      </c>
      <c r="AJ92" s="28"/>
      <c r="AK92" s="28"/>
      <c r="AL92" s="28"/>
      <c r="AM92" s="29"/>
      <c r="AN92" s="33"/>
      <c r="AO92" s="34"/>
      <c r="AP92" s="31"/>
    </row>
    <row r="93" spans="1:42" ht="24.95" customHeight="1" x14ac:dyDescent="0.3">
      <c r="A93" s="11">
        <v>3312</v>
      </c>
      <c r="B93" s="11" t="s">
        <v>128</v>
      </c>
      <c r="C93" s="11" t="s">
        <v>97</v>
      </c>
      <c r="D93" s="11" t="s">
        <v>172</v>
      </c>
      <c r="E93" s="11" t="s">
        <v>211</v>
      </c>
      <c r="F93" s="11" t="s">
        <v>235</v>
      </c>
      <c r="G93" s="11" t="s">
        <v>327</v>
      </c>
      <c r="H93" s="11" t="s">
        <v>74</v>
      </c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12">
        <f>VLOOKUP(AB93,바코드찍는곳!B:C,2,0)</f>
        <v>2</v>
      </c>
      <c r="W93" s="21"/>
      <c r="X93" s="22"/>
      <c r="Y93" s="23" t="s">
        <v>75</v>
      </c>
      <c r="Z93" s="23" t="s">
        <v>75</v>
      </c>
      <c r="AA93" s="23" t="s">
        <v>75</v>
      </c>
      <c r="AB93" s="24" t="s">
        <v>393</v>
      </c>
      <c r="AC93" s="22" t="s">
        <v>81</v>
      </c>
      <c r="AD93" s="22" t="s">
        <v>76</v>
      </c>
      <c r="AE93" s="25" t="s">
        <v>349</v>
      </c>
      <c r="AF93" s="11"/>
      <c r="AG93" s="11" t="s">
        <v>365</v>
      </c>
      <c r="AH93" s="11" t="s">
        <v>79</v>
      </c>
      <c r="AI93" s="11" t="s">
        <v>80</v>
      </c>
      <c r="AJ93" s="28"/>
      <c r="AK93" s="28"/>
      <c r="AL93" s="28"/>
      <c r="AM93" s="29"/>
      <c r="AN93" s="33"/>
      <c r="AO93" s="34"/>
      <c r="AP93" s="31"/>
    </row>
    <row r="94" spans="1:42" ht="24.95" customHeight="1" x14ac:dyDescent="0.3">
      <c r="A94" s="11">
        <v>3357</v>
      </c>
      <c r="B94" s="11" t="s">
        <v>129</v>
      </c>
      <c r="C94" s="11" t="s">
        <v>88</v>
      </c>
      <c r="D94" s="11" t="s">
        <v>172</v>
      </c>
      <c r="E94" s="11" t="s">
        <v>212</v>
      </c>
      <c r="F94" s="11" t="s">
        <v>236</v>
      </c>
      <c r="G94" s="11" t="s">
        <v>328</v>
      </c>
      <c r="H94" s="11" t="s">
        <v>74</v>
      </c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12">
        <f>VLOOKUP(AB94,바코드찍는곳!B:C,2,0)</f>
        <v>2</v>
      </c>
      <c r="W94" s="21"/>
      <c r="X94" s="22"/>
      <c r="Y94" s="23" t="s">
        <v>75</v>
      </c>
      <c r="Z94" s="23" t="s">
        <v>75</v>
      </c>
      <c r="AA94" s="23" t="s">
        <v>75</v>
      </c>
      <c r="AB94" s="24" t="s">
        <v>395</v>
      </c>
      <c r="AC94" s="22" t="s">
        <v>81</v>
      </c>
      <c r="AD94" s="22" t="s">
        <v>76</v>
      </c>
      <c r="AE94" s="25" t="s">
        <v>348</v>
      </c>
      <c r="AF94" s="11"/>
      <c r="AG94" s="11" t="s">
        <v>365</v>
      </c>
      <c r="AH94" s="11" t="s">
        <v>79</v>
      </c>
      <c r="AI94" s="11" t="s">
        <v>80</v>
      </c>
      <c r="AJ94" s="28"/>
      <c r="AK94" s="28"/>
      <c r="AL94" s="28"/>
      <c r="AM94" s="29"/>
      <c r="AN94" s="33"/>
      <c r="AO94" s="34"/>
      <c r="AP94" s="31"/>
    </row>
    <row r="95" spans="1:42" ht="24.95" customHeight="1" x14ac:dyDescent="0.3">
      <c r="A95" s="11">
        <v>3359</v>
      </c>
      <c r="B95" s="11" t="s">
        <v>129</v>
      </c>
      <c r="C95" s="11" t="s">
        <v>90</v>
      </c>
      <c r="D95" s="11" t="s">
        <v>172</v>
      </c>
      <c r="E95" s="11" t="s">
        <v>212</v>
      </c>
      <c r="F95" s="11" t="s">
        <v>236</v>
      </c>
      <c r="G95" s="11" t="s">
        <v>329</v>
      </c>
      <c r="H95" s="11" t="s">
        <v>74</v>
      </c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12">
        <f>VLOOKUP(AB95,바코드찍는곳!B:C,2,0)</f>
        <v>2</v>
      </c>
      <c r="W95" s="21"/>
      <c r="X95" s="22"/>
      <c r="Y95" s="23" t="s">
        <v>75</v>
      </c>
      <c r="Z95" s="23" t="s">
        <v>75</v>
      </c>
      <c r="AA95" s="23" t="s">
        <v>75</v>
      </c>
      <c r="AB95" s="24" t="s">
        <v>396</v>
      </c>
      <c r="AC95" s="22" t="s">
        <v>81</v>
      </c>
      <c r="AD95" s="22" t="s">
        <v>76</v>
      </c>
      <c r="AE95" s="25" t="s">
        <v>344</v>
      </c>
      <c r="AF95" s="11"/>
      <c r="AG95" s="11" t="s">
        <v>365</v>
      </c>
      <c r="AH95" s="11" t="s">
        <v>79</v>
      </c>
      <c r="AI95" s="11" t="s">
        <v>80</v>
      </c>
      <c r="AJ95" s="28"/>
      <c r="AK95" s="28"/>
      <c r="AL95" s="28"/>
      <c r="AM95" s="29"/>
      <c r="AN95" s="33"/>
      <c r="AO95" s="34"/>
      <c r="AP95" s="31"/>
    </row>
    <row r="96" spans="1:42" ht="24.95" customHeight="1" x14ac:dyDescent="0.3">
      <c r="A96" s="11">
        <v>4116</v>
      </c>
      <c r="B96" s="11" t="s">
        <v>130</v>
      </c>
      <c r="C96" s="11" t="s">
        <v>160</v>
      </c>
      <c r="D96" s="11" t="s">
        <v>172</v>
      </c>
      <c r="E96" s="11" t="s">
        <v>213</v>
      </c>
      <c r="F96" s="11" t="s">
        <v>237</v>
      </c>
      <c r="G96" s="11" t="s">
        <v>330</v>
      </c>
      <c r="H96" s="11" t="s">
        <v>74</v>
      </c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12">
        <f>VLOOKUP(AB96,바코드찍는곳!B:C,2,0)</f>
        <v>7</v>
      </c>
      <c r="W96" s="21"/>
      <c r="X96" s="22"/>
      <c r="Y96" s="23" t="s">
        <v>75</v>
      </c>
      <c r="Z96" s="23" t="s">
        <v>75</v>
      </c>
      <c r="AA96" s="23" t="s">
        <v>75</v>
      </c>
      <c r="AB96" s="24" t="s">
        <v>408</v>
      </c>
      <c r="AC96" s="22" t="s">
        <v>81</v>
      </c>
      <c r="AD96" s="22" t="s">
        <v>76</v>
      </c>
      <c r="AE96" s="25" t="s">
        <v>77</v>
      </c>
      <c r="AF96" s="11"/>
      <c r="AG96" s="11" t="s">
        <v>364</v>
      </c>
      <c r="AH96" s="11" t="s">
        <v>79</v>
      </c>
      <c r="AI96" s="11" t="s">
        <v>80</v>
      </c>
      <c r="AJ96" s="28"/>
      <c r="AK96" s="28"/>
      <c r="AL96" s="28"/>
      <c r="AM96" s="29"/>
      <c r="AN96" s="33"/>
      <c r="AO96" s="34"/>
      <c r="AP96" s="31"/>
    </row>
    <row r="97" spans="1:42" ht="24.95" customHeight="1" x14ac:dyDescent="0.3">
      <c r="A97" s="11">
        <v>4117</v>
      </c>
      <c r="B97" s="11" t="s">
        <v>130</v>
      </c>
      <c r="C97" s="11" t="s">
        <v>161</v>
      </c>
      <c r="D97" s="11" t="s">
        <v>172</v>
      </c>
      <c r="E97" s="11" t="s">
        <v>213</v>
      </c>
      <c r="F97" s="11" t="s">
        <v>237</v>
      </c>
      <c r="G97" s="11" t="s">
        <v>331</v>
      </c>
      <c r="H97" s="11" t="s">
        <v>74</v>
      </c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12">
        <f>VLOOKUP(AB97,바코드찍는곳!B:C,2,0)</f>
        <v>2</v>
      </c>
      <c r="W97" s="21"/>
      <c r="X97" s="22"/>
      <c r="Y97" s="23" t="s">
        <v>75</v>
      </c>
      <c r="Z97" s="23" t="s">
        <v>75</v>
      </c>
      <c r="AA97" s="23" t="s">
        <v>75</v>
      </c>
      <c r="AB97" s="24" t="s">
        <v>409</v>
      </c>
      <c r="AC97" s="22" t="s">
        <v>81</v>
      </c>
      <c r="AD97" s="22" t="s">
        <v>76</v>
      </c>
      <c r="AE97" s="25" t="s">
        <v>345</v>
      </c>
      <c r="AF97" s="11"/>
      <c r="AG97" s="11" t="s">
        <v>364</v>
      </c>
      <c r="AH97" s="11" t="s">
        <v>79</v>
      </c>
      <c r="AI97" s="11" t="s">
        <v>80</v>
      </c>
      <c r="AJ97" s="28"/>
      <c r="AK97" s="28"/>
      <c r="AL97" s="28"/>
      <c r="AM97" s="29"/>
      <c r="AN97" s="33"/>
      <c r="AO97" s="34"/>
      <c r="AP97" s="31"/>
    </row>
    <row r="98" spans="1:42" ht="24.95" customHeight="1" x14ac:dyDescent="0.3">
      <c r="A98" s="11">
        <v>4119</v>
      </c>
      <c r="B98" s="11" t="s">
        <v>130</v>
      </c>
      <c r="C98" s="11" t="s">
        <v>162</v>
      </c>
      <c r="D98" s="11" t="s">
        <v>172</v>
      </c>
      <c r="E98" s="11" t="s">
        <v>213</v>
      </c>
      <c r="F98" s="11" t="s">
        <v>237</v>
      </c>
      <c r="G98" s="11" t="s">
        <v>332</v>
      </c>
      <c r="H98" s="11" t="s">
        <v>74</v>
      </c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12">
        <f>VLOOKUP(AB98,바코드찍는곳!B:C,2,0)</f>
        <v>4</v>
      </c>
      <c r="W98" s="21"/>
      <c r="X98" s="22"/>
      <c r="Y98" s="23" t="s">
        <v>75</v>
      </c>
      <c r="Z98" s="23" t="s">
        <v>75</v>
      </c>
      <c r="AA98" s="23" t="s">
        <v>75</v>
      </c>
      <c r="AB98" s="24" t="s">
        <v>410</v>
      </c>
      <c r="AC98" s="22" t="s">
        <v>81</v>
      </c>
      <c r="AD98" s="22" t="s">
        <v>76</v>
      </c>
      <c r="AE98" s="25" t="s">
        <v>77</v>
      </c>
      <c r="AF98" s="11"/>
      <c r="AG98" s="11" t="s">
        <v>364</v>
      </c>
      <c r="AH98" s="11" t="s">
        <v>79</v>
      </c>
      <c r="AI98" s="11" t="s">
        <v>80</v>
      </c>
      <c r="AJ98" s="28"/>
      <c r="AK98" s="28"/>
      <c r="AL98" s="28"/>
      <c r="AM98" s="29"/>
      <c r="AN98" s="33"/>
      <c r="AO98" s="34"/>
      <c r="AP98" s="31"/>
    </row>
    <row r="99" spans="1:42" ht="24.95" customHeight="1" x14ac:dyDescent="0.3">
      <c r="A99" s="11">
        <v>4120</v>
      </c>
      <c r="B99" s="11" t="s">
        <v>130</v>
      </c>
      <c r="C99" s="11" t="s">
        <v>163</v>
      </c>
      <c r="D99" s="11" t="s">
        <v>172</v>
      </c>
      <c r="E99" s="11" t="s">
        <v>213</v>
      </c>
      <c r="F99" s="11" t="s">
        <v>237</v>
      </c>
      <c r="G99" s="11" t="s">
        <v>333</v>
      </c>
      <c r="H99" s="11" t="s">
        <v>74</v>
      </c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12">
        <f>VLOOKUP(AB99,바코드찍는곳!B:C,2,0)</f>
        <v>1</v>
      </c>
      <c r="W99" s="21"/>
      <c r="X99" s="22"/>
      <c r="Y99" s="23" t="s">
        <v>75</v>
      </c>
      <c r="Z99" s="23" t="s">
        <v>75</v>
      </c>
      <c r="AA99" s="23" t="s">
        <v>75</v>
      </c>
      <c r="AB99" s="24" t="s">
        <v>411</v>
      </c>
      <c r="AC99" s="22" t="s">
        <v>81</v>
      </c>
      <c r="AD99" s="22" t="s">
        <v>76</v>
      </c>
      <c r="AE99" s="25" t="s">
        <v>72</v>
      </c>
      <c r="AF99" s="11"/>
      <c r="AG99" s="11" t="s">
        <v>364</v>
      </c>
      <c r="AH99" s="11" t="s">
        <v>79</v>
      </c>
      <c r="AI99" s="11" t="s">
        <v>80</v>
      </c>
      <c r="AJ99" s="28"/>
      <c r="AK99" s="28"/>
      <c r="AL99" s="28"/>
      <c r="AM99" s="29"/>
      <c r="AN99" s="33"/>
      <c r="AO99" s="34"/>
      <c r="AP99" s="31"/>
    </row>
    <row r="100" spans="1:42" ht="24.95" customHeight="1" x14ac:dyDescent="0.3">
      <c r="A100" s="11">
        <v>4122</v>
      </c>
      <c r="B100" s="11" t="s">
        <v>130</v>
      </c>
      <c r="C100" s="11" t="s">
        <v>164</v>
      </c>
      <c r="D100" s="11" t="s">
        <v>172</v>
      </c>
      <c r="E100" s="11" t="s">
        <v>213</v>
      </c>
      <c r="F100" s="11" t="s">
        <v>237</v>
      </c>
      <c r="G100" s="11" t="s">
        <v>334</v>
      </c>
      <c r="H100" s="11" t="s">
        <v>74</v>
      </c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12">
        <f>VLOOKUP(AB100,바코드찍는곳!B:C,2,0)</f>
        <v>8</v>
      </c>
      <c r="W100" s="21"/>
      <c r="X100" s="22"/>
      <c r="Y100" s="23" t="s">
        <v>75</v>
      </c>
      <c r="Z100" s="23" t="s">
        <v>75</v>
      </c>
      <c r="AA100" s="23" t="s">
        <v>75</v>
      </c>
      <c r="AB100" s="24" t="s">
        <v>412</v>
      </c>
      <c r="AC100" s="22" t="s">
        <v>81</v>
      </c>
      <c r="AD100" s="22" t="s">
        <v>76</v>
      </c>
      <c r="AE100" s="25" t="s">
        <v>77</v>
      </c>
      <c r="AF100" s="11"/>
      <c r="AG100" s="11" t="s">
        <v>364</v>
      </c>
      <c r="AH100" s="11" t="s">
        <v>79</v>
      </c>
      <c r="AI100" s="11" t="s">
        <v>80</v>
      </c>
      <c r="AJ100" s="28"/>
      <c r="AK100" s="28"/>
      <c r="AL100" s="28"/>
      <c r="AM100" s="29"/>
      <c r="AN100" s="33"/>
      <c r="AO100" s="34"/>
      <c r="AP100" s="31"/>
    </row>
    <row r="101" spans="1:42" ht="24.95" customHeight="1" x14ac:dyDescent="0.3">
      <c r="A101" s="11">
        <v>4128</v>
      </c>
      <c r="B101" s="11" t="s">
        <v>130</v>
      </c>
      <c r="C101" s="11" t="s">
        <v>165</v>
      </c>
      <c r="D101" s="11" t="s">
        <v>172</v>
      </c>
      <c r="E101" s="11" t="s">
        <v>213</v>
      </c>
      <c r="F101" s="11" t="s">
        <v>237</v>
      </c>
      <c r="G101" s="11" t="s">
        <v>335</v>
      </c>
      <c r="H101" s="11" t="s">
        <v>74</v>
      </c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12">
        <f>VLOOKUP(AB101,바코드찍는곳!B:C,2,0)</f>
        <v>9</v>
      </c>
      <c r="W101" s="21"/>
      <c r="X101" s="22"/>
      <c r="Y101" s="23" t="s">
        <v>75</v>
      </c>
      <c r="Z101" s="23" t="s">
        <v>75</v>
      </c>
      <c r="AA101" s="23" t="s">
        <v>75</v>
      </c>
      <c r="AB101" s="24" t="s">
        <v>413</v>
      </c>
      <c r="AC101" s="22" t="s">
        <v>81</v>
      </c>
      <c r="AD101" s="22" t="s">
        <v>76</v>
      </c>
      <c r="AE101" s="25" t="s">
        <v>77</v>
      </c>
      <c r="AF101" s="11"/>
      <c r="AG101" s="11" t="s">
        <v>364</v>
      </c>
      <c r="AH101" s="11" t="s">
        <v>79</v>
      </c>
      <c r="AI101" s="11" t="s">
        <v>80</v>
      </c>
      <c r="AJ101" s="28"/>
      <c r="AK101" s="28"/>
      <c r="AL101" s="28"/>
      <c r="AM101" s="29"/>
      <c r="AN101" s="33"/>
      <c r="AO101" s="34"/>
      <c r="AP101" s="31"/>
    </row>
    <row r="102" spans="1:42" ht="24.95" customHeight="1" x14ac:dyDescent="0.3">
      <c r="A102" s="11">
        <v>4131</v>
      </c>
      <c r="B102" s="11" t="s">
        <v>130</v>
      </c>
      <c r="C102" s="11" t="s">
        <v>166</v>
      </c>
      <c r="D102" s="11" t="s">
        <v>172</v>
      </c>
      <c r="E102" s="11" t="s">
        <v>213</v>
      </c>
      <c r="F102" s="11" t="s">
        <v>237</v>
      </c>
      <c r="G102" s="11" t="s">
        <v>336</v>
      </c>
      <c r="H102" s="11" t="s">
        <v>74</v>
      </c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12">
        <f>VLOOKUP(AB102,바코드찍는곳!B:C,2,0)</f>
        <v>6</v>
      </c>
      <c r="W102" s="21"/>
      <c r="X102" s="22"/>
      <c r="Y102" s="23" t="s">
        <v>75</v>
      </c>
      <c r="Z102" s="23" t="s">
        <v>75</v>
      </c>
      <c r="AA102" s="23" t="s">
        <v>75</v>
      </c>
      <c r="AB102" s="24" t="s">
        <v>414</v>
      </c>
      <c r="AC102" s="22" t="s">
        <v>81</v>
      </c>
      <c r="AD102" s="22" t="s">
        <v>76</v>
      </c>
      <c r="AE102" s="25" t="s">
        <v>344</v>
      </c>
      <c r="AF102" s="11"/>
      <c r="AG102" s="11" t="s">
        <v>364</v>
      </c>
      <c r="AH102" s="11" t="s">
        <v>79</v>
      </c>
      <c r="AI102" s="11" t="s">
        <v>80</v>
      </c>
      <c r="AJ102" s="28"/>
      <c r="AK102" s="28"/>
      <c r="AL102" s="28"/>
      <c r="AM102" s="29"/>
      <c r="AN102" s="33"/>
      <c r="AO102" s="34"/>
      <c r="AP102" s="31"/>
    </row>
    <row r="103" spans="1:42" ht="24.95" customHeight="1" x14ac:dyDescent="0.3">
      <c r="A103" s="11">
        <v>4141</v>
      </c>
      <c r="B103" s="11" t="s">
        <v>130</v>
      </c>
      <c r="C103" s="11" t="s">
        <v>167</v>
      </c>
      <c r="D103" s="11" t="s">
        <v>172</v>
      </c>
      <c r="E103" s="11" t="s">
        <v>213</v>
      </c>
      <c r="F103" s="11" t="s">
        <v>237</v>
      </c>
      <c r="G103" s="11" t="s">
        <v>337</v>
      </c>
      <c r="H103" s="11" t="s">
        <v>74</v>
      </c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12">
        <f>VLOOKUP(AB103,바코드찍는곳!B:C,2,0)</f>
        <v>2</v>
      </c>
      <c r="W103" s="21"/>
      <c r="X103" s="22"/>
      <c r="Y103" s="23" t="s">
        <v>75</v>
      </c>
      <c r="Z103" s="23" t="s">
        <v>75</v>
      </c>
      <c r="AA103" s="23" t="s">
        <v>75</v>
      </c>
      <c r="AB103" s="24" t="s">
        <v>415</v>
      </c>
      <c r="AC103" s="22" t="s">
        <v>81</v>
      </c>
      <c r="AD103" s="22" t="s">
        <v>76</v>
      </c>
      <c r="AE103" s="25" t="s">
        <v>355</v>
      </c>
      <c r="AF103" s="11"/>
      <c r="AG103" s="11" t="s">
        <v>364</v>
      </c>
      <c r="AH103" s="11" t="s">
        <v>79</v>
      </c>
      <c r="AI103" s="11" t="s">
        <v>80</v>
      </c>
      <c r="AJ103" s="28"/>
      <c r="AK103" s="28"/>
      <c r="AL103" s="28"/>
      <c r="AM103" s="29"/>
      <c r="AN103" s="33"/>
      <c r="AO103" s="34"/>
      <c r="AP103" s="31"/>
    </row>
    <row r="104" spans="1:42" ht="24.95" customHeight="1" x14ac:dyDescent="0.3">
      <c r="A104" s="11">
        <v>4142</v>
      </c>
      <c r="B104" s="11" t="s">
        <v>130</v>
      </c>
      <c r="C104" s="11" t="s">
        <v>168</v>
      </c>
      <c r="D104" s="11" t="s">
        <v>172</v>
      </c>
      <c r="E104" s="11" t="s">
        <v>213</v>
      </c>
      <c r="F104" s="11" t="s">
        <v>237</v>
      </c>
      <c r="G104" s="11" t="s">
        <v>338</v>
      </c>
      <c r="H104" s="11" t="s">
        <v>74</v>
      </c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12">
        <f>VLOOKUP(AB104,바코드찍는곳!B:C,2,0)</f>
        <v>1</v>
      </c>
      <c r="W104" s="21"/>
      <c r="X104" s="22"/>
      <c r="Y104" s="23" t="s">
        <v>75</v>
      </c>
      <c r="Z104" s="23" t="s">
        <v>75</v>
      </c>
      <c r="AA104" s="23" t="s">
        <v>75</v>
      </c>
      <c r="AB104" s="24" t="s">
        <v>416</v>
      </c>
      <c r="AC104" s="22" t="s">
        <v>81</v>
      </c>
      <c r="AD104" s="22" t="s">
        <v>76</v>
      </c>
      <c r="AE104" s="25" t="s">
        <v>345</v>
      </c>
      <c r="AF104" s="11"/>
      <c r="AG104" s="11" t="s">
        <v>364</v>
      </c>
      <c r="AH104" s="11" t="s">
        <v>79</v>
      </c>
      <c r="AI104" s="11" t="s">
        <v>80</v>
      </c>
      <c r="AJ104" s="28"/>
      <c r="AK104" s="28"/>
      <c r="AL104" s="28"/>
      <c r="AM104" s="29"/>
      <c r="AN104" s="33"/>
      <c r="AO104" s="34"/>
      <c r="AP104" s="31"/>
    </row>
    <row r="105" spans="1:42" ht="24.95" customHeight="1" x14ac:dyDescent="0.3">
      <c r="A105" s="11">
        <v>4147</v>
      </c>
      <c r="B105" s="11" t="s">
        <v>130</v>
      </c>
      <c r="C105" s="11" t="s">
        <v>169</v>
      </c>
      <c r="D105" s="11" t="s">
        <v>172</v>
      </c>
      <c r="E105" s="11" t="s">
        <v>213</v>
      </c>
      <c r="F105" s="11" t="s">
        <v>237</v>
      </c>
      <c r="G105" s="11" t="s">
        <v>339</v>
      </c>
      <c r="H105" s="11" t="s">
        <v>74</v>
      </c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12">
        <f>VLOOKUP(AB105,바코드찍는곳!B:C,2,0)</f>
        <v>2</v>
      </c>
      <c r="W105" s="21"/>
      <c r="X105" s="22"/>
      <c r="Y105" s="23" t="s">
        <v>75</v>
      </c>
      <c r="Z105" s="23" t="s">
        <v>75</v>
      </c>
      <c r="AA105" s="23" t="s">
        <v>75</v>
      </c>
      <c r="AB105" s="24" t="s">
        <v>417</v>
      </c>
      <c r="AC105" s="22" t="s">
        <v>81</v>
      </c>
      <c r="AD105" s="22" t="s">
        <v>76</v>
      </c>
      <c r="AE105" s="25" t="s">
        <v>349</v>
      </c>
      <c r="AF105" s="11"/>
      <c r="AG105" s="11" t="s">
        <v>364</v>
      </c>
      <c r="AH105" s="11" t="s">
        <v>79</v>
      </c>
      <c r="AI105" s="11" t="s">
        <v>80</v>
      </c>
      <c r="AJ105" s="28"/>
      <c r="AK105" s="28"/>
      <c r="AL105" s="28"/>
      <c r="AM105" s="29"/>
      <c r="AN105" s="33"/>
      <c r="AO105" s="34"/>
      <c r="AP105" s="31"/>
    </row>
    <row r="106" spans="1:42" ht="24.95" customHeight="1" x14ac:dyDescent="0.3">
      <c r="A106" s="11">
        <v>4150</v>
      </c>
      <c r="B106" s="11" t="s">
        <v>130</v>
      </c>
      <c r="C106" s="11" t="s">
        <v>170</v>
      </c>
      <c r="D106" s="11" t="s">
        <v>172</v>
      </c>
      <c r="E106" s="11" t="s">
        <v>213</v>
      </c>
      <c r="F106" s="11" t="s">
        <v>237</v>
      </c>
      <c r="G106" s="11" t="s">
        <v>340</v>
      </c>
      <c r="H106" s="11" t="s">
        <v>74</v>
      </c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12">
        <f>VLOOKUP(AB106,바코드찍는곳!B:C,2,0)</f>
        <v>2</v>
      </c>
      <c r="W106" s="21"/>
      <c r="X106" s="22"/>
      <c r="Y106" s="23" t="s">
        <v>75</v>
      </c>
      <c r="Z106" s="23" t="s">
        <v>75</v>
      </c>
      <c r="AA106" s="23" t="s">
        <v>75</v>
      </c>
      <c r="AB106" s="24" t="s">
        <v>418</v>
      </c>
      <c r="AC106" s="22" t="s">
        <v>81</v>
      </c>
      <c r="AD106" s="22" t="s">
        <v>76</v>
      </c>
      <c r="AE106" s="25" t="s">
        <v>355</v>
      </c>
      <c r="AF106" s="11"/>
      <c r="AG106" s="11" t="s">
        <v>364</v>
      </c>
      <c r="AH106" s="11" t="s">
        <v>79</v>
      </c>
      <c r="AI106" s="11" t="s">
        <v>80</v>
      </c>
      <c r="AJ106" s="28"/>
      <c r="AK106" s="28"/>
      <c r="AL106" s="28"/>
      <c r="AM106" s="29"/>
      <c r="AN106" s="33"/>
      <c r="AO106" s="34"/>
      <c r="AP106" s="31"/>
    </row>
    <row r="107" spans="1:42" ht="24.95" customHeight="1" x14ac:dyDescent="0.3">
      <c r="A107" s="11">
        <v>4156</v>
      </c>
      <c r="B107" s="11" t="s">
        <v>130</v>
      </c>
      <c r="C107" s="11" t="s">
        <v>171</v>
      </c>
      <c r="D107" s="11" t="s">
        <v>172</v>
      </c>
      <c r="E107" s="11" t="s">
        <v>213</v>
      </c>
      <c r="F107" s="11" t="s">
        <v>237</v>
      </c>
      <c r="G107" s="11" t="s">
        <v>341</v>
      </c>
      <c r="H107" s="11" t="s">
        <v>74</v>
      </c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12">
        <f>VLOOKUP(AB107,바코드찍는곳!B:C,2,0)</f>
        <v>2</v>
      </c>
      <c r="W107" s="21"/>
      <c r="X107" s="22"/>
      <c r="Y107" s="23" t="s">
        <v>75</v>
      </c>
      <c r="Z107" s="23" t="s">
        <v>75</v>
      </c>
      <c r="AA107" s="23" t="s">
        <v>75</v>
      </c>
      <c r="AB107" s="24" t="s">
        <v>419</v>
      </c>
      <c r="AC107" s="22" t="s">
        <v>81</v>
      </c>
      <c r="AD107" s="22" t="s">
        <v>76</v>
      </c>
      <c r="AE107" s="25" t="s">
        <v>72</v>
      </c>
      <c r="AF107" s="11"/>
      <c r="AG107" s="11" t="s">
        <v>364</v>
      </c>
      <c r="AH107" s="11" t="s">
        <v>79</v>
      </c>
      <c r="AI107" s="11" t="s">
        <v>80</v>
      </c>
      <c r="AJ107" s="28"/>
      <c r="AK107" s="28"/>
      <c r="AL107" s="28"/>
      <c r="AM107" s="29"/>
      <c r="AN107" s="33"/>
      <c r="AO107" s="34"/>
      <c r="AP107" s="31"/>
    </row>
    <row r="108" spans="1:42" ht="24.95" customHeight="1" x14ac:dyDescent="0.3">
      <c r="A108" s="11">
        <v>4343</v>
      </c>
      <c r="B108" s="11" t="s">
        <v>131</v>
      </c>
      <c r="C108" s="11" t="s">
        <v>136</v>
      </c>
      <c r="D108" s="11" t="s">
        <v>172</v>
      </c>
      <c r="E108" s="11" t="s">
        <v>212</v>
      </c>
      <c r="F108" s="11" t="s">
        <v>238</v>
      </c>
      <c r="G108" s="11" t="s">
        <v>342</v>
      </c>
      <c r="H108" s="11" t="s">
        <v>74</v>
      </c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12">
        <f>VLOOKUP(AB108,바코드찍는곳!B:C,2,0)</f>
        <v>3</v>
      </c>
      <c r="W108" s="21"/>
      <c r="X108" s="22"/>
      <c r="Y108" s="23" t="s">
        <v>75</v>
      </c>
      <c r="Z108" s="23" t="s">
        <v>75</v>
      </c>
      <c r="AA108" s="23" t="s">
        <v>75</v>
      </c>
      <c r="AB108" s="24" t="s">
        <v>369</v>
      </c>
      <c r="AC108" s="22" t="s">
        <v>81</v>
      </c>
      <c r="AD108" s="22" t="s">
        <v>76</v>
      </c>
      <c r="AE108" s="25" t="s">
        <v>348</v>
      </c>
      <c r="AF108" s="11"/>
      <c r="AG108" s="11" t="s">
        <v>365</v>
      </c>
      <c r="AH108" s="11" t="s">
        <v>79</v>
      </c>
      <c r="AI108" s="11" t="s">
        <v>80</v>
      </c>
      <c r="AJ108" s="28"/>
      <c r="AK108" s="28"/>
      <c r="AL108" s="28"/>
      <c r="AM108" s="29"/>
      <c r="AN108" s="33"/>
      <c r="AO108" s="34"/>
      <c r="AP108" s="31"/>
    </row>
    <row r="109" spans="1:42" ht="24.95" customHeight="1" x14ac:dyDescent="0.3">
      <c r="A109" s="11">
        <v>4344</v>
      </c>
      <c r="B109" s="11" t="s">
        <v>131</v>
      </c>
      <c r="C109" s="11" t="s">
        <v>137</v>
      </c>
      <c r="D109" s="11" t="s">
        <v>172</v>
      </c>
      <c r="E109" s="11" t="s">
        <v>212</v>
      </c>
      <c r="F109" s="11" t="s">
        <v>238</v>
      </c>
      <c r="G109" s="11" t="s">
        <v>343</v>
      </c>
      <c r="H109" s="11" t="s">
        <v>74</v>
      </c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12">
        <f>VLOOKUP(AB109,바코드찍는곳!B:C,2,0)</f>
        <v>1</v>
      </c>
      <c r="W109" s="21"/>
      <c r="X109" s="22"/>
      <c r="Y109" s="23" t="s">
        <v>75</v>
      </c>
      <c r="Z109" s="23" t="s">
        <v>75</v>
      </c>
      <c r="AA109" s="23" t="s">
        <v>75</v>
      </c>
      <c r="AB109" s="24" t="s">
        <v>370</v>
      </c>
      <c r="AC109" s="22" t="s">
        <v>81</v>
      </c>
      <c r="AD109" s="22" t="s">
        <v>76</v>
      </c>
      <c r="AE109" s="25" t="s">
        <v>357</v>
      </c>
      <c r="AF109" s="11"/>
      <c r="AG109" s="11" t="s">
        <v>365</v>
      </c>
      <c r="AH109" s="11" t="s">
        <v>79</v>
      </c>
      <c r="AI109" s="11" t="s">
        <v>80</v>
      </c>
      <c r="AJ109" s="28"/>
      <c r="AK109" s="28"/>
      <c r="AL109" s="28"/>
      <c r="AM109" s="29"/>
      <c r="AN109" s="33"/>
      <c r="AO109" s="34"/>
      <c r="AP109" s="31"/>
    </row>
    <row r="110" spans="1:42" ht="24.95" customHeight="1" x14ac:dyDescent="0.3">
      <c r="A110" s="11">
        <v>4550</v>
      </c>
      <c r="B110" s="13" t="s">
        <v>424</v>
      </c>
      <c r="C110" s="13" t="s">
        <v>141</v>
      </c>
      <c r="D110" s="14" t="s">
        <v>173</v>
      </c>
      <c r="E110" s="13" t="s">
        <v>425</v>
      </c>
      <c r="F110" s="13" t="s">
        <v>426</v>
      </c>
      <c r="G110" s="13" t="s">
        <v>427</v>
      </c>
      <c r="H110" s="13" t="s">
        <v>74</v>
      </c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12">
        <f>VLOOKUP(AB110,바코드찍는곳!B:C,2,0)</f>
        <v>2</v>
      </c>
      <c r="W110" s="26"/>
      <c r="X110" s="15" t="s">
        <v>423</v>
      </c>
      <c r="Y110" s="16" t="s">
        <v>75</v>
      </c>
      <c r="Z110" s="16" t="s">
        <v>75</v>
      </c>
      <c r="AA110" s="16" t="s">
        <v>75</v>
      </c>
      <c r="AB110" s="17">
        <v>8800242292216</v>
      </c>
      <c r="AC110" s="15" t="s">
        <v>81</v>
      </c>
      <c r="AD110" s="15" t="s">
        <v>76</v>
      </c>
      <c r="AE110" s="18" t="s">
        <v>77</v>
      </c>
      <c r="AF110" s="19" t="s">
        <v>423</v>
      </c>
      <c r="AG110" s="19" t="s">
        <v>365</v>
      </c>
      <c r="AH110" s="19" t="s">
        <v>79</v>
      </c>
      <c r="AI110" s="19" t="s">
        <v>80</v>
      </c>
      <c r="AJ110" s="28"/>
      <c r="AK110" s="28"/>
      <c r="AL110" s="28"/>
      <c r="AM110" s="29"/>
      <c r="AN110" s="31"/>
      <c r="AO110" s="31"/>
      <c r="AP110" s="31"/>
    </row>
    <row r="111" spans="1:42" ht="24.95" customHeight="1" x14ac:dyDescent="0.3">
      <c r="A111" s="11">
        <v>4555</v>
      </c>
      <c r="B111" s="13" t="s">
        <v>424</v>
      </c>
      <c r="C111" s="13" t="s">
        <v>136</v>
      </c>
      <c r="D111" s="14" t="s">
        <v>173</v>
      </c>
      <c r="E111" s="13" t="s">
        <v>425</v>
      </c>
      <c r="F111" s="13" t="s">
        <v>426</v>
      </c>
      <c r="G111" s="13" t="s">
        <v>428</v>
      </c>
      <c r="H111" s="13" t="s">
        <v>74</v>
      </c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12">
        <f>VLOOKUP(AB111,바코드찍는곳!B:C,2,0)</f>
        <v>2</v>
      </c>
      <c r="W111" s="26"/>
      <c r="X111" s="15" t="s">
        <v>423</v>
      </c>
      <c r="Y111" s="16" t="s">
        <v>75</v>
      </c>
      <c r="Z111" s="16" t="s">
        <v>75</v>
      </c>
      <c r="AA111" s="16" t="s">
        <v>75</v>
      </c>
      <c r="AB111" s="17">
        <v>8800242292148</v>
      </c>
      <c r="AC111" s="15" t="s">
        <v>81</v>
      </c>
      <c r="AD111" s="15" t="s">
        <v>76</v>
      </c>
      <c r="AE111" s="18" t="s">
        <v>77</v>
      </c>
      <c r="AF111" s="19" t="s">
        <v>423</v>
      </c>
      <c r="AG111" s="19" t="s">
        <v>365</v>
      </c>
      <c r="AH111" s="19" t="s">
        <v>79</v>
      </c>
      <c r="AI111" s="19" t="s">
        <v>80</v>
      </c>
      <c r="AJ111" s="28"/>
      <c r="AK111" s="28"/>
      <c r="AL111" s="28"/>
      <c r="AM111" s="29"/>
      <c r="AN111" s="31"/>
      <c r="AO111" s="31"/>
      <c r="AP111" s="31"/>
    </row>
    <row r="112" spans="1:42" ht="24.95" customHeight="1" x14ac:dyDescent="0.3">
      <c r="A112" s="11">
        <v>4572</v>
      </c>
      <c r="B112" s="13" t="s">
        <v>424</v>
      </c>
      <c r="C112" s="13" t="s">
        <v>135</v>
      </c>
      <c r="D112" s="14" t="s">
        <v>173</v>
      </c>
      <c r="E112" s="13" t="s">
        <v>425</v>
      </c>
      <c r="F112" s="13" t="s">
        <v>426</v>
      </c>
      <c r="G112" s="13" t="s">
        <v>429</v>
      </c>
      <c r="H112" s="13" t="s">
        <v>74</v>
      </c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12">
        <f>VLOOKUP(AB112,바코드찍는곳!B:C,2,0)</f>
        <v>1</v>
      </c>
      <c r="W112" s="26"/>
      <c r="X112" s="15" t="s">
        <v>423</v>
      </c>
      <c r="Y112" s="16" t="s">
        <v>75</v>
      </c>
      <c r="Z112" s="16" t="s">
        <v>75</v>
      </c>
      <c r="AA112" s="16" t="s">
        <v>75</v>
      </c>
      <c r="AB112" s="17">
        <v>8800242292131</v>
      </c>
      <c r="AC112" s="15" t="s">
        <v>81</v>
      </c>
      <c r="AD112" s="15" t="s">
        <v>76</v>
      </c>
      <c r="AE112" s="18" t="s">
        <v>77</v>
      </c>
      <c r="AF112" s="19" t="s">
        <v>423</v>
      </c>
      <c r="AG112" s="19" t="s">
        <v>365</v>
      </c>
      <c r="AH112" s="19" t="s">
        <v>79</v>
      </c>
      <c r="AI112" s="19" t="s">
        <v>80</v>
      </c>
      <c r="AJ112" s="28"/>
      <c r="AK112" s="28"/>
      <c r="AL112" s="28"/>
      <c r="AM112" s="29"/>
      <c r="AN112" s="31"/>
      <c r="AO112" s="31"/>
      <c r="AP112" s="31"/>
    </row>
    <row r="113" spans="1:42" ht="24.95" customHeight="1" x14ac:dyDescent="0.3">
      <c r="A113" s="11">
        <v>4614</v>
      </c>
      <c r="B113" s="11" t="s">
        <v>430</v>
      </c>
      <c r="C113" s="11" t="s">
        <v>151</v>
      </c>
      <c r="D113" s="25" t="s">
        <v>180</v>
      </c>
      <c r="E113" s="11" t="s">
        <v>431</v>
      </c>
      <c r="F113" s="11" t="s">
        <v>432</v>
      </c>
      <c r="G113" s="11" t="s">
        <v>433</v>
      </c>
      <c r="H113" s="11" t="s">
        <v>74</v>
      </c>
      <c r="I113" s="20" t="s">
        <v>423</v>
      </c>
      <c r="J113" s="20" t="s">
        <v>423</v>
      </c>
      <c r="K113" s="20" t="s">
        <v>423</v>
      </c>
      <c r="L113" s="20" t="s">
        <v>423</v>
      </c>
      <c r="M113" s="20" t="s">
        <v>423</v>
      </c>
      <c r="N113" s="20" t="s">
        <v>423</v>
      </c>
      <c r="O113" s="20" t="s">
        <v>423</v>
      </c>
      <c r="P113" s="20" t="s">
        <v>423</v>
      </c>
      <c r="Q113" s="20" t="s">
        <v>423</v>
      </c>
      <c r="R113" s="20" t="s">
        <v>423</v>
      </c>
      <c r="S113" s="20" t="s">
        <v>423</v>
      </c>
      <c r="T113" s="20" t="s">
        <v>423</v>
      </c>
      <c r="U113" s="20" t="s">
        <v>423</v>
      </c>
      <c r="V113" s="12">
        <f>VLOOKUP(AB113,바코드찍는곳!B:C,2,0)</f>
        <v>1</v>
      </c>
      <c r="W113" s="21" t="s">
        <v>423</v>
      </c>
      <c r="X113" s="22" t="s">
        <v>423</v>
      </c>
      <c r="Y113" s="23" t="s">
        <v>75</v>
      </c>
      <c r="Z113" s="23" t="s">
        <v>75</v>
      </c>
      <c r="AA113" s="23" t="s">
        <v>75</v>
      </c>
      <c r="AB113" s="24">
        <v>8800242292926</v>
      </c>
      <c r="AC113" s="22" t="s">
        <v>81</v>
      </c>
      <c r="AD113" s="22" t="s">
        <v>76</v>
      </c>
      <c r="AE113" s="25" t="s">
        <v>77</v>
      </c>
      <c r="AF113" s="11" t="s">
        <v>423</v>
      </c>
      <c r="AG113" s="11" t="s">
        <v>362</v>
      </c>
      <c r="AH113" s="11" t="s">
        <v>79</v>
      </c>
      <c r="AI113" s="11" t="s">
        <v>80</v>
      </c>
      <c r="AJ113" s="28"/>
      <c r="AK113" s="28"/>
      <c r="AL113" s="28"/>
      <c r="AM113" s="29"/>
      <c r="AN113" s="31"/>
      <c r="AO113" s="31"/>
      <c r="AP113" s="31"/>
    </row>
    <row r="114" spans="1:42" ht="24.95" customHeight="1" x14ac:dyDescent="0.3">
      <c r="A114" s="11">
        <v>4763</v>
      </c>
      <c r="B114" s="11" t="s">
        <v>434</v>
      </c>
      <c r="C114" s="11" t="s">
        <v>88</v>
      </c>
      <c r="D114" s="25" t="s">
        <v>106</v>
      </c>
      <c r="E114" s="11" t="s">
        <v>435</v>
      </c>
      <c r="F114" s="11" t="s">
        <v>436</v>
      </c>
      <c r="G114" s="11" t="s">
        <v>437</v>
      </c>
      <c r="H114" s="11" t="s">
        <v>74</v>
      </c>
      <c r="I114" s="20" t="s">
        <v>423</v>
      </c>
      <c r="J114" s="20" t="s">
        <v>423</v>
      </c>
      <c r="K114" s="20" t="s">
        <v>423</v>
      </c>
      <c r="L114" s="20" t="s">
        <v>423</v>
      </c>
      <c r="M114" s="20" t="s">
        <v>423</v>
      </c>
      <c r="N114" s="20" t="s">
        <v>423</v>
      </c>
      <c r="O114" s="20" t="s">
        <v>423</v>
      </c>
      <c r="P114" s="20" t="s">
        <v>423</v>
      </c>
      <c r="Q114" s="20" t="s">
        <v>423</v>
      </c>
      <c r="R114" s="20" t="s">
        <v>423</v>
      </c>
      <c r="S114" s="20" t="s">
        <v>423</v>
      </c>
      <c r="T114" s="20" t="s">
        <v>423</v>
      </c>
      <c r="U114" s="20" t="s">
        <v>423</v>
      </c>
      <c r="V114" s="12">
        <f>VLOOKUP(AB114,바코드찍는곳!B:C,2,0)</f>
        <v>1</v>
      </c>
      <c r="W114" s="21" t="s">
        <v>423</v>
      </c>
      <c r="X114" s="22" t="s">
        <v>423</v>
      </c>
      <c r="Y114" s="23" t="s">
        <v>75</v>
      </c>
      <c r="Z114" s="23" t="s">
        <v>75</v>
      </c>
      <c r="AA114" s="23" t="s">
        <v>75</v>
      </c>
      <c r="AB114" s="24">
        <v>8800242296405</v>
      </c>
      <c r="AC114" s="22" t="s">
        <v>81</v>
      </c>
      <c r="AD114" s="22" t="s">
        <v>76</v>
      </c>
      <c r="AE114" s="25" t="s">
        <v>77</v>
      </c>
      <c r="AF114" s="11"/>
      <c r="AG114" s="11" t="s">
        <v>78</v>
      </c>
      <c r="AH114" s="11" t="s">
        <v>79</v>
      </c>
      <c r="AI114" s="11" t="s">
        <v>80</v>
      </c>
      <c r="AJ114" s="28"/>
      <c r="AK114" s="28"/>
      <c r="AL114" s="28"/>
      <c r="AM114" s="29"/>
      <c r="AN114" s="31"/>
      <c r="AO114" s="31"/>
      <c r="AP114" s="31"/>
    </row>
    <row r="115" spans="1:42" ht="24.95" customHeight="1" x14ac:dyDescent="0.3">
      <c r="A115" s="11">
        <v>4770</v>
      </c>
      <c r="B115" s="11" t="s">
        <v>434</v>
      </c>
      <c r="C115" s="11" t="s">
        <v>94</v>
      </c>
      <c r="D115" s="25" t="s">
        <v>106</v>
      </c>
      <c r="E115" s="11" t="s">
        <v>435</v>
      </c>
      <c r="F115" s="11" t="s">
        <v>436</v>
      </c>
      <c r="G115" s="11" t="s">
        <v>438</v>
      </c>
      <c r="H115" s="11" t="s">
        <v>74</v>
      </c>
      <c r="I115" s="20" t="s">
        <v>423</v>
      </c>
      <c r="J115" s="20" t="s">
        <v>423</v>
      </c>
      <c r="K115" s="20" t="s">
        <v>423</v>
      </c>
      <c r="L115" s="20" t="s">
        <v>423</v>
      </c>
      <c r="M115" s="20" t="s">
        <v>423</v>
      </c>
      <c r="N115" s="20" t="s">
        <v>423</v>
      </c>
      <c r="O115" s="20" t="s">
        <v>423</v>
      </c>
      <c r="P115" s="20" t="s">
        <v>423</v>
      </c>
      <c r="Q115" s="20" t="s">
        <v>423</v>
      </c>
      <c r="R115" s="20" t="s">
        <v>423</v>
      </c>
      <c r="S115" s="20" t="s">
        <v>423</v>
      </c>
      <c r="T115" s="20" t="s">
        <v>423</v>
      </c>
      <c r="U115" s="20" t="s">
        <v>423</v>
      </c>
      <c r="V115" s="12">
        <f>VLOOKUP(AB115,바코드찍는곳!B:C,2,0)</f>
        <v>2</v>
      </c>
      <c r="W115" s="21" t="s">
        <v>423</v>
      </c>
      <c r="X115" s="22" t="s">
        <v>423</v>
      </c>
      <c r="Y115" s="23" t="s">
        <v>75</v>
      </c>
      <c r="Z115" s="23" t="s">
        <v>75</v>
      </c>
      <c r="AA115" s="23" t="s">
        <v>75</v>
      </c>
      <c r="AB115" s="24">
        <v>8800242296474</v>
      </c>
      <c r="AC115" s="22" t="s">
        <v>81</v>
      </c>
      <c r="AD115" s="22" t="s">
        <v>76</v>
      </c>
      <c r="AE115" s="25" t="s">
        <v>77</v>
      </c>
      <c r="AF115" s="11"/>
      <c r="AG115" s="11" t="s">
        <v>78</v>
      </c>
      <c r="AH115" s="11" t="s">
        <v>79</v>
      </c>
      <c r="AI115" s="11" t="s">
        <v>80</v>
      </c>
      <c r="AJ115" s="28"/>
      <c r="AK115" s="28"/>
      <c r="AL115" s="28"/>
      <c r="AM115" s="29"/>
      <c r="AN115" s="31"/>
      <c r="AO115" s="31"/>
      <c r="AP115" s="31"/>
    </row>
    <row r="116" spans="1:42" ht="24.95" customHeight="1" x14ac:dyDescent="0.3">
      <c r="A116" s="11">
        <v>4777</v>
      </c>
      <c r="B116" s="11" t="s">
        <v>434</v>
      </c>
      <c r="C116" s="11" t="s">
        <v>100</v>
      </c>
      <c r="D116" s="25" t="s">
        <v>106</v>
      </c>
      <c r="E116" s="11" t="s">
        <v>435</v>
      </c>
      <c r="F116" s="11" t="s">
        <v>436</v>
      </c>
      <c r="G116" s="11" t="s">
        <v>439</v>
      </c>
      <c r="H116" s="11" t="s">
        <v>74</v>
      </c>
      <c r="I116" s="20" t="s">
        <v>423</v>
      </c>
      <c r="J116" s="20" t="s">
        <v>423</v>
      </c>
      <c r="K116" s="20" t="s">
        <v>423</v>
      </c>
      <c r="L116" s="20" t="s">
        <v>423</v>
      </c>
      <c r="M116" s="20" t="s">
        <v>423</v>
      </c>
      <c r="N116" s="20" t="s">
        <v>423</v>
      </c>
      <c r="O116" s="20" t="s">
        <v>423</v>
      </c>
      <c r="P116" s="20" t="s">
        <v>423</v>
      </c>
      <c r="Q116" s="20" t="s">
        <v>423</v>
      </c>
      <c r="R116" s="20" t="s">
        <v>423</v>
      </c>
      <c r="S116" s="20" t="s">
        <v>423</v>
      </c>
      <c r="T116" s="20" t="s">
        <v>423</v>
      </c>
      <c r="U116" s="20" t="s">
        <v>423</v>
      </c>
      <c r="V116" s="12">
        <f>VLOOKUP(AB116,바코드찍는곳!B:C,2,0)</f>
        <v>1</v>
      </c>
      <c r="W116" s="21" t="s">
        <v>423</v>
      </c>
      <c r="X116" s="22" t="s">
        <v>423</v>
      </c>
      <c r="Y116" s="23" t="s">
        <v>75</v>
      </c>
      <c r="Z116" s="23" t="s">
        <v>75</v>
      </c>
      <c r="AA116" s="23" t="s">
        <v>75</v>
      </c>
      <c r="AB116" s="24">
        <v>8800242296542</v>
      </c>
      <c r="AC116" s="22" t="s">
        <v>81</v>
      </c>
      <c r="AD116" s="22" t="s">
        <v>76</v>
      </c>
      <c r="AE116" s="25" t="s">
        <v>77</v>
      </c>
      <c r="AF116" s="11"/>
      <c r="AG116" s="11" t="s">
        <v>78</v>
      </c>
      <c r="AH116" s="11" t="s">
        <v>79</v>
      </c>
      <c r="AI116" s="11" t="s">
        <v>80</v>
      </c>
      <c r="AJ116" s="28"/>
      <c r="AK116" s="28"/>
      <c r="AL116" s="28"/>
      <c r="AM116" s="29"/>
      <c r="AN116" s="31"/>
      <c r="AO116" s="31"/>
      <c r="AP116" s="31"/>
    </row>
  </sheetData>
  <autoFilter ref="A3:AQ116" xr:uid="{00000000-0001-0000-0000-000000000000}"/>
  <mergeCells count="12">
    <mergeCell ref="D1:U1"/>
    <mergeCell ref="V1:AB1"/>
    <mergeCell ref="AC1:AD1"/>
    <mergeCell ref="AE1:AI1"/>
    <mergeCell ref="B2:C2"/>
    <mergeCell ref="E2:H2"/>
    <mergeCell ref="I2:P2"/>
    <mergeCell ref="Q2:U2"/>
    <mergeCell ref="V2:W2"/>
    <mergeCell ref="X2:AA2"/>
    <mergeCell ref="AB2:AD2"/>
    <mergeCell ref="AE2:AI2"/>
  </mergeCells>
  <phoneticPr fontId="5" type="noConversion"/>
  <conditionalFormatting sqref="AN31:AN109">
    <cfRule type="duplicateValues" dxfId="11" priority="6016"/>
  </conditionalFormatting>
  <conditionalFormatting sqref="AF30">
    <cfRule type="duplicateValues" dxfId="10" priority="6033"/>
  </conditionalFormatting>
  <conditionalFormatting sqref="AN30">
    <cfRule type="duplicateValues" dxfId="9" priority="6034"/>
  </conditionalFormatting>
  <conditionalFormatting sqref="G1:G1048576">
    <cfRule type="duplicateValues" dxfId="8" priority="6245"/>
  </conditionalFormatting>
  <conditionalFormatting sqref="AN5:AN29">
    <cfRule type="duplicateValues" dxfId="1" priority="6255"/>
  </conditionalFormatting>
  <conditionalFormatting sqref="AO5:AO109">
    <cfRule type="duplicateValues" dxfId="0" priority="6256"/>
  </conditionalFormatting>
  <dataValidations count="7">
    <dataValidation type="decimal" allowBlank="1" showErrorMessage="1" errorTitle="ERROR" error="0 ~ 9223372036854775807 사이 숫자만 입력할 수 있습니다." sqref="W113:X116 D113:D116 AE113:AE116 W5:X109 AE5:AE109 D5:D29" xr:uid="{00000000-0002-0000-0000-000000000000}">
      <formula1>0</formula1>
      <formula2>9223372036854770000</formula2>
    </dataValidation>
    <dataValidation type="list" allowBlank="1" showErrorMessage="1" errorTitle="ERROR" error="판매자배송, 로켓그로스 중 하나의 값만 입력할 수 있습니다." sqref="H113:H116 H5:H109" xr:uid="{00000000-0002-0000-0000-000001000000}">
      <formula1>"판매자배송,로켓그로스"</formula1>
    </dataValidation>
    <dataValidation type="whole" allowBlank="1" showErrorMessage="1" errorTitle="ERROR" error="숫자만 입력할 수 있습니다." sqref="I113:U116 I5:U109" xr:uid="{00000000-0002-0000-0000-000002000000}">
      <formula1>0</formula1>
      <formula2>999999999999999</formula2>
    </dataValidation>
    <dataValidation type="list" allowBlank="1" showErrorMessage="1" errorTitle="ERROR" error="Small, Medium, Large 중 하나의 값만 입력할 수 있습니다." sqref="AC113:AC116 AC5:AC109" xr:uid="{00000000-0002-0000-0000-000003000000}">
      <formula1>"Small,Medium,Large"</formula1>
    </dataValidation>
    <dataValidation type="list" allowBlank="1" showErrorMessage="1" errorTitle="ERROR" error="해당, 해당아님 중 하나의 값만 입력할 수 있습니다." sqref="AD113:AD116 AD5:AD109" xr:uid="{00000000-0002-0000-0000-000004000000}">
      <formula1>"해당,해당아님"</formula1>
    </dataValidation>
    <dataValidation type="list" allowBlank="1" showErrorMessage="1" errorTitle="ERROR" error="병행수입, 비병행수입 중 하나의 값만 입력할 수 있습니다." sqref="AH113:AH116 AH5:AH109" xr:uid="{00000000-0002-0000-0000-000005000000}">
      <formula1>"병행수입,비병행수입"</formula1>
    </dataValidation>
    <dataValidation type="list" allowBlank="1" showErrorMessage="1" errorTitle="ERROR" error="과세, 면세 중 하나의 값만 입력할 수 있습니다." sqref="AI113:AI116 AI5:AI109" xr:uid="{00000000-0002-0000-0000-000006000000}">
      <formula1>"과세,면세"</formula1>
    </dataValidation>
  </dataValidations>
  <hyperlinks>
    <hyperlink ref="AC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4"/>
  <sheetViews>
    <sheetView workbookViewId="0">
      <selection activeCell="C1" sqref="C1:C1048576"/>
    </sheetView>
  </sheetViews>
  <sheetFormatPr defaultRowHeight="16.5" x14ac:dyDescent="0.3"/>
  <cols>
    <col min="1" max="1" width="19.75" style="7" customWidth="1"/>
    <col min="2" max="2" width="17.125" style="5" bestFit="1" customWidth="1"/>
    <col min="3" max="3" width="13.625" style="5" bestFit="1" customWidth="1"/>
    <col min="4" max="16384" width="9" style="5"/>
  </cols>
  <sheetData>
    <row r="1" spans="1:3" ht="17.25" x14ac:dyDescent="0.3">
      <c r="A1" s="9" t="s">
        <v>420</v>
      </c>
      <c r="B1" s="10" t="s">
        <v>421</v>
      </c>
      <c r="C1" s="10" t="s">
        <v>422</v>
      </c>
    </row>
    <row r="2" spans="1:3" x14ac:dyDescent="0.3">
      <c r="A2" s="48" t="s">
        <v>408</v>
      </c>
      <c r="B2" s="48"/>
      <c r="C2" s="8">
        <f t="shared" ref="C2:C10" si="0">COUNTIF(A:A,B2)</f>
        <v>0</v>
      </c>
    </row>
    <row r="3" spans="1:3" x14ac:dyDescent="0.3">
      <c r="A3" s="48" t="s">
        <v>408</v>
      </c>
      <c r="B3" s="48" t="s">
        <v>408</v>
      </c>
      <c r="C3" s="8">
        <f t="shared" si="0"/>
        <v>7</v>
      </c>
    </row>
    <row r="4" spans="1:3" x14ac:dyDescent="0.3">
      <c r="A4" s="48" t="s">
        <v>408</v>
      </c>
      <c r="B4" s="48" t="s">
        <v>370</v>
      </c>
      <c r="C4" s="8">
        <f t="shared" si="0"/>
        <v>1</v>
      </c>
    </row>
    <row r="5" spans="1:3" x14ac:dyDescent="0.3">
      <c r="A5" s="48" t="s">
        <v>408</v>
      </c>
      <c r="B5" s="48" t="s">
        <v>402</v>
      </c>
      <c r="C5" s="8">
        <f t="shared" si="0"/>
        <v>2</v>
      </c>
    </row>
    <row r="6" spans="1:3" x14ac:dyDescent="0.3">
      <c r="A6" s="48" t="s">
        <v>370</v>
      </c>
      <c r="B6" s="48" t="s">
        <v>407</v>
      </c>
      <c r="C6" s="8">
        <f t="shared" si="0"/>
        <v>5</v>
      </c>
    </row>
    <row r="7" spans="1:3" x14ac:dyDescent="0.3">
      <c r="A7" s="48" t="s">
        <v>402</v>
      </c>
      <c r="B7" s="48" t="s">
        <v>377</v>
      </c>
      <c r="C7" s="8">
        <f t="shared" si="0"/>
        <v>3</v>
      </c>
    </row>
    <row r="8" spans="1:3" x14ac:dyDescent="0.3">
      <c r="A8" s="48" t="s">
        <v>402</v>
      </c>
      <c r="B8" s="48" t="s">
        <v>395</v>
      </c>
      <c r="C8" s="8">
        <f t="shared" si="0"/>
        <v>2</v>
      </c>
    </row>
    <row r="9" spans="1:3" x14ac:dyDescent="0.3">
      <c r="A9" s="48" t="s">
        <v>407</v>
      </c>
      <c r="B9" s="48" t="s">
        <v>378</v>
      </c>
      <c r="C9" s="8">
        <f t="shared" si="0"/>
        <v>2</v>
      </c>
    </row>
    <row r="10" spans="1:3" x14ac:dyDescent="0.3">
      <c r="A10" s="48" t="s">
        <v>377</v>
      </c>
      <c r="B10" s="48">
        <v>8809816389024</v>
      </c>
      <c r="C10" s="8">
        <f t="shared" si="0"/>
        <v>1</v>
      </c>
    </row>
    <row r="11" spans="1:3" x14ac:dyDescent="0.3">
      <c r="A11" s="48" t="s">
        <v>377</v>
      </c>
      <c r="B11" s="48">
        <v>8809816388911</v>
      </c>
      <c r="C11" s="8">
        <f t="shared" ref="C11:C65" si="1">COUNTIF(A:A,B11)</f>
        <v>1</v>
      </c>
    </row>
    <row r="12" spans="1:3" x14ac:dyDescent="0.3">
      <c r="A12" s="48" t="s">
        <v>377</v>
      </c>
      <c r="B12" s="48">
        <v>8809816388560</v>
      </c>
      <c r="C12" s="8">
        <f t="shared" si="1"/>
        <v>1</v>
      </c>
    </row>
    <row r="13" spans="1:3" x14ac:dyDescent="0.3">
      <c r="A13" s="48" t="s">
        <v>395</v>
      </c>
      <c r="B13" s="48">
        <v>8809816388539</v>
      </c>
      <c r="C13" s="8">
        <f t="shared" si="1"/>
        <v>2</v>
      </c>
    </row>
    <row r="14" spans="1:3" x14ac:dyDescent="0.3">
      <c r="A14" s="48" t="s">
        <v>395</v>
      </c>
      <c r="B14" s="48">
        <v>8809848761881</v>
      </c>
      <c r="C14" s="8">
        <f t="shared" si="1"/>
        <v>4</v>
      </c>
    </row>
    <row r="15" spans="1:3" x14ac:dyDescent="0.3">
      <c r="A15" s="48" t="s">
        <v>378</v>
      </c>
      <c r="B15" s="48">
        <v>8809816388867</v>
      </c>
      <c r="C15" s="8">
        <f t="shared" si="1"/>
        <v>2</v>
      </c>
    </row>
    <row r="16" spans="1:3" x14ac:dyDescent="0.3">
      <c r="A16" s="48" t="s">
        <v>378</v>
      </c>
      <c r="B16" s="48">
        <v>8809816388850</v>
      </c>
      <c r="C16" s="8">
        <f t="shared" si="1"/>
        <v>1</v>
      </c>
    </row>
    <row r="17" spans="1:3" x14ac:dyDescent="0.3">
      <c r="A17" s="48">
        <v>8809816389024</v>
      </c>
      <c r="B17" s="48">
        <v>8809848761874</v>
      </c>
      <c r="C17" s="8">
        <f t="shared" si="1"/>
        <v>8</v>
      </c>
    </row>
    <row r="18" spans="1:3" x14ac:dyDescent="0.3">
      <c r="A18" s="48">
        <v>8809816388911</v>
      </c>
      <c r="B18" s="48" t="s">
        <v>412</v>
      </c>
      <c r="C18" s="8">
        <f t="shared" si="1"/>
        <v>8</v>
      </c>
    </row>
    <row r="19" spans="1:3" x14ac:dyDescent="0.3">
      <c r="A19" s="48">
        <v>8809816388560</v>
      </c>
      <c r="B19" s="48">
        <v>8809848761867</v>
      </c>
      <c r="C19" s="8">
        <f t="shared" si="1"/>
        <v>5</v>
      </c>
    </row>
    <row r="20" spans="1:3" x14ac:dyDescent="0.3">
      <c r="A20" s="48">
        <v>8809816388539</v>
      </c>
      <c r="B20" s="48" t="s">
        <v>390</v>
      </c>
      <c r="C20" s="8">
        <f t="shared" si="1"/>
        <v>8</v>
      </c>
    </row>
    <row r="21" spans="1:3" x14ac:dyDescent="0.3">
      <c r="A21" s="48">
        <v>8809816388539</v>
      </c>
      <c r="B21" s="48" t="s">
        <v>413</v>
      </c>
      <c r="C21" s="8">
        <f t="shared" si="1"/>
        <v>9</v>
      </c>
    </row>
    <row r="22" spans="1:3" x14ac:dyDescent="0.3">
      <c r="A22" s="48">
        <v>8809848761881</v>
      </c>
      <c r="B22" s="48" t="s">
        <v>388</v>
      </c>
      <c r="C22" s="8">
        <f t="shared" si="1"/>
        <v>1</v>
      </c>
    </row>
    <row r="23" spans="1:3" x14ac:dyDescent="0.3">
      <c r="A23" s="48">
        <v>8809816388867</v>
      </c>
      <c r="B23" s="48" t="s">
        <v>389</v>
      </c>
      <c r="C23" s="8">
        <f t="shared" si="1"/>
        <v>1</v>
      </c>
    </row>
    <row r="24" spans="1:3" x14ac:dyDescent="0.3">
      <c r="A24" s="48">
        <v>8809816388867</v>
      </c>
      <c r="B24" s="48" t="s">
        <v>387</v>
      </c>
      <c r="C24" s="8">
        <f t="shared" si="1"/>
        <v>2</v>
      </c>
    </row>
    <row r="25" spans="1:3" x14ac:dyDescent="0.3">
      <c r="A25" s="48">
        <v>8809816388850</v>
      </c>
      <c r="B25" s="48">
        <v>8809848764165</v>
      </c>
      <c r="C25" s="8">
        <f t="shared" si="1"/>
        <v>1</v>
      </c>
    </row>
    <row r="26" spans="1:3" x14ac:dyDescent="0.3">
      <c r="A26" s="48">
        <v>8809848761874</v>
      </c>
      <c r="B26" s="48">
        <v>8809848764134</v>
      </c>
      <c r="C26" s="8">
        <f t="shared" si="1"/>
        <v>4</v>
      </c>
    </row>
    <row r="27" spans="1:3" x14ac:dyDescent="0.3">
      <c r="A27" s="48">
        <v>8809848761874</v>
      </c>
      <c r="B27" s="48">
        <v>8809848764189</v>
      </c>
      <c r="C27" s="8">
        <f t="shared" si="1"/>
        <v>5</v>
      </c>
    </row>
    <row r="28" spans="1:3" x14ac:dyDescent="0.3">
      <c r="A28" s="48">
        <v>8809848761874</v>
      </c>
      <c r="B28" s="48">
        <v>8809848764196</v>
      </c>
      <c r="C28" s="8">
        <f t="shared" si="1"/>
        <v>3</v>
      </c>
    </row>
    <row r="29" spans="1:3" x14ac:dyDescent="0.3">
      <c r="A29" s="48">
        <v>8809848761874</v>
      </c>
      <c r="B29" s="48">
        <v>8809848761812</v>
      </c>
      <c r="C29" s="8">
        <f t="shared" si="1"/>
        <v>1</v>
      </c>
    </row>
    <row r="30" spans="1:3" x14ac:dyDescent="0.3">
      <c r="A30" s="48" t="s">
        <v>408</v>
      </c>
      <c r="B30" s="48">
        <v>8809848761966</v>
      </c>
      <c r="C30" s="5">
        <f t="shared" si="1"/>
        <v>3</v>
      </c>
    </row>
    <row r="31" spans="1:3" x14ac:dyDescent="0.3">
      <c r="A31" s="48" t="s">
        <v>408</v>
      </c>
      <c r="B31" s="48">
        <v>8809848761843</v>
      </c>
      <c r="C31" s="5">
        <f t="shared" si="1"/>
        <v>7</v>
      </c>
    </row>
    <row r="32" spans="1:3" x14ac:dyDescent="0.3">
      <c r="A32" s="48" t="s">
        <v>412</v>
      </c>
      <c r="B32" s="48" t="s">
        <v>414</v>
      </c>
      <c r="C32" s="5">
        <f t="shared" si="1"/>
        <v>6</v>
      </c>
    </row>
    <row r="33" spans="1:3" x14ac:dyDescent="0.3">
      <c r="A33" s="48" t="s">
        <v>408</v>
      </c>
      <c r="B33" s="48">
        <v>8809848762581</v>
      </c>
      <c r="C33" s="5">
        <f t="shared" si="1"/>
        <v>3</v>
      </c>
    </row>
    <row r="34" spans="1:3" x14ac:dyDescent="0.3">
      <c r="A34" s="48">
        <v>8809848761874</v>
      </c>
      <c r="B34" s="48" t="s">
        <v>386</v>
      </c>
      <c r="C34" s="5">
        <f t="shared" si="1"/>
        <v>1</v>
      </c>
    </row>
    <row r="35" spans="1:3" x14ac:dyDescent="0.3">
      <c r="A35" s="48">
        <v>8809848761874</v>
      </c>
      <c r="B35" s="48">
        <v>8809848762604</v>
      </c>
      <c r="C35" s="5">
        <f t="shared" si="1"/>
        <v>5</v>
      </c>
    </row>
    <row r="36" spans="1:3" x14ac:dyDescent="0.3">
      <c r="A36" s="48">
        <v>8809848761874</v>
      </c>
      <c r="B36" s="48">
        <v>8800242296542</v>
      </c>
      <c r="C36" s="5">
        <f t="shared" si="1"/>
        <v>1</v>
      </c>
    </row>
    <row r="37" spans="1:3" x14ac:dyDescent="0.3">
      <c r="A37" s="48">
        <v>8809848761881</v>
      </c>
      <c r="B37" s="48">
        <v>8800242296474</v>
      </c>
      <c r="C37" s="5">
        <f t="shared" si="1"/>
        <v>2</v>
      </c>
    </row>
    <row r="38" spans="1:3" x14ac:dyDescent="0.3">
      <c r="A38" s="48">
        <v>8809848761867</v>
      </c>
      <c r="B38" s="48">
        <v>8809848762543</v>
      </c>
      <c r="C38" s="5">
        <f t="shared" si="1"/>
        <v>3</v>
      </c>
    </row>
    <row r="39" spans="1:3" x14ac:dyDescent="0.3">
      <c r="A39" s="48">
        <v>8809848761867</v>
      </c>
      <c r="B39" s="48" t="s">
        <v>410</v>
      </c>
      <c r="C39" s="5">
        <f t="shared" si="1"/>
        <v>4</v>
      </c>
    </row>
    <row r="40" spans="1:3" x14ac:dyDescent="0.3">
      <c r="A40" s="48">
        <v>8809848761874</v>
      </c>
      <c r="B40" s="48">
        <v>8800242292148</v>
      </c>
      <c r="C40" s="5">
        <f t="shared" si="1"/>
        <v>2</v>
      </c>
    </row>
    <row r="41" spans="1:3" x14ac:dyDescent="0.3">
      <c r="A41" s="48">
        <v>8809848761881</v>
      </c>
      <c r="B41" s="48">
        <v>8800242292216</v>
      </c>
      <c r="C41" s="5">
        <f t="shared" si="1"/>
        <v>2</v>
      </c>
    </row>
    <row r="42" spans="1:3" x14ac:dyDescent="0.3">
      <c r="A42" s="48">
        <v>8809848761867</v>
      </c>
      <c r="B42" s="48">
        <v>8809798693270</v>
      </c>
      <c r="C42" s="5">
        <f t="shared" si="1"/>
        <v>2</v>
      </c>
    </row>
    <row r="43" spans="1:3" x14ac:dyDescent="0.3">
      <c r="A43" s="48">
        <v>8809848761867</v>
      </c>
      <c r="B43" s="48" t="s">
        <v>391</v>
      </c>
      <c r="C43" s="5">
        <f t="shared" si="1"/>
        <v>2</v>
      </c>
    </row>
    <row r="44" spans="1:3" x14ac:dyDescent="0.3">
      <c r="A44" s="48">
        <v>8809848761867</v>
      </c>
      <c r="B44" s="48">
        <v>8809848762505</v>
      </c>
      <c r="C44" s="5">
        <f t="shared" si="1"/>
        <v>4</v>
      </c>
    </row>
    <row r="45" spans="1:3" x14ac:dyDescent="0.3">
      <c r="A45" s="48" t="s">
        <v>390</v>
      </c>
      <c r="B45" s="48" t="s">
        <v>418</v>
      </c>
      <c r="C45" s="5">
        <f t="shared" si="1"/>
        <v>2</v>
      </c>
    </row>
    <row r="46" spans="1:3" x14ac:dyDescent="0.3">
      <c r="A46" s="48" t="s">
        <v>412</v>
      </c>
      <c r="B46" s="48">
        <v>8809848762536</v>
      </c>
      <c r="C46" s="5">
        <f t="shared" si="1"/>
        <v>4</v>
      </c>
    </row>
    <row r="47" spans="1:3" x14ac:dyDescent="0.3">
      <c r="A47" s="48" t="s">
        <v>412</v>
      </c>
      <c r="B47" s="48">
        <v>8809848762529</v>
      </c>
      <c r="C47" s="5">
        <f t="shared" si="1"/>
        <v>4</v>
      </c>
    </row>
    <row r="48" spans="1:3" x14ac:dyDescent="0.3">
      <c r="A48" s="48" t="s">
        <v>413</v>
      </c>
      <c r="B48" s="48">
        <v>8809848762512</v>
      </c>
      <c r="C48" s="5">
        <f t="shared" si="1"/>
        <v>3</v>
      </c>
    </row>
    <row r="49" spans="1:3" x14ac:dyDescent="0.3">
      <c r="A49" s="48" t="s">
        <v>412</v>
      </c>
      <c r="B49" s="48">
        <v>8809848765841</v>
      </c>
      <c r="C49" s="5">
        <f t="shared" si="1"/>
        <v>2</v>
      </c>
    </row>
    <row r="50" spans="1:3" x14ac:dyDescent="0.3">
      <c r="A50" s="48" t="s">
        <v>390</v>
      </c>
      <c r="B50" s="48" t="s">
        <v>419</v>
      </c>
      <c r="C50" s="5">
        <f t="shared" si="1"/>
        <v>2</v>
      </c>
    </row>
    <row r="51" spans="1:3" x14ac:dyDescent="0.3">
      <c r="A51" s="48" t="s">
        <v>390</v>
      </c>
      <c r="B51" s="48" t="s">
        <v>409</v>
      </c>
      <c r="C51" s="5">
        <f t="shared" si="1"/>
        <v>2</v>
      </c>
    </row>
    <row r="52" spans="1:3" x14ac:dyDescent="0.3">
      <c r="A52" s="48" t="s">
        <v>390</v>
      </c>
      <c r="B52" s="48" t="s">
        <v>415</v>
      </c>
      <c r="C52" s="5">
        <f t="shared" si="1"/>
        <v>2</v>
      </c>
    </row>
    <row r="53" spans="1:3" x14ac:dyDescent="0.3">
      <c r="A53" s="48" t="s">
        <v>390</v>
      </c>
      <c r="B53" s="48" t="s">
        <v>416</v>
      </c>
      <c r="C53" s="5">
        <f t="shared" si="1"/>
        <v>1</v>
      </c>
    </row>
    <row r="54" spans="1:3" x14ac:dyDescent="0.3">
      <c r="A54" s="48" t="s">
        <v>390</v>
      </c>
      <c r="B54" s="48" t="s">
        <v>411</v>
      </c>
      <c r="C54" s="5">
        <f t="shared" si="1"/>
        <v>1</v>
      </c>
    </row>
    <row r="55" spans="1:3" x14ac:dyDescent="0.3">
      <c r="A55" s="48" t="s">
        <v>388</v>
      </c>
      <c r="B55" s="48" t="s">
        <v>417</v>
      </c>
      <c r="C55" s="5">
        <f t="shared" si="1"/>
        <v>2</v>
      </c>
    </row>
    <row r="56" spans="1:3" x14ac:dyDescent="0.3">
      <c r="A56" s="48" t="s">
        <v>390</v>
      </c>
      <c r="B56" s="48" t="s">
        <v>371</v>
      </c>
      <c r="C56" s="5">
        <f t="shared" si="1"/>
        <v>1</v>
      </c>
    </row>
    <row r="57" spans="1:3" x14ac:dyDescent="0.3">
      <c r="A57" s="48" t="s">
        <v>390</v>
      </c>
      <c r="B57" s="48" t="s">
        <v>374</v>
      </c>
      <c r="C57" s="5">
        <f t="shared" si="1"/>
        <v>2</v>
      </c>
    </row>
    <row r="58" spans="1:3" x14ac:dyDescent="0.3">
      <c r="A58" s="48" t="s">
        <v>389</v>
      </c>
      <c r="B58" s="48" t="s">
        <v>382</v>
      </c>
      <c r="C58" s="5">
        <f t="shared" si="1"/>
        <v>2</v>
      </c>
    </row>
    <row r="59" spans="1:3" x14ac:dyDescent="0.3">
      <c r="A59" s="48" t="s">
        <v>387</v>
      </c>
      <c r="B59" s="48" t="s">
        <v>379</v>
      </c>
      <c r="C59" s="5">
        <f t="shared" si="1"/>
        <v>1</v>
      </c>
    </row>
    <row r="60" spans="1:3" x14ac:dyDescent="0.3">
      <c r="A60" s="48" t="s">
        <v>387</v>
      </c>
      <c r="B60" s="48" t="s">
        <v>393</v>
      </c>
      <c r="C60" s="5">
        <f t="shared" si="1"/>
        <v>2</v>
      </c>
    </row>
    <row r="61" spans="1:3" x14ac:dyDescent="0.3">
      <c r="A61" s="48">
        <v>8809848764165</v>
      </c>
      <c r="B61" s="48" t="s">
        <v>394</v>
      </c>
      <c r="C61" s="5">
        <f t="shared" si="1"/>
        <v>1</v>
      </c>
    </row>
    <row r="62" spans="1:3" x14ac:dyDescent="0.3">
      <c r="A62" s="48" t="s">
        <v>413</v>
      </c>
      <c r="B62" s="48">
        <v>8800242292131</v>
      </c>
      <c r="C62" s="5">
        <f t="shared" si="1"/>
        <v>1</v>
      </c>
    </row>
    <row r="63" spans="1:3" x14ac:dyDescent="0.3">
      <c r="A63" s="48" t="s">
        <v>413</v>
      </c>
      <c r="B63" s="48" t="s">
        <v>392</v>
      </c>
      <c r="C63" s="5">
        <f t="shared" si="1"/>
        <v>2</v>
      </c>
    </row>
    <row r="64" spans="1:3" x14ac:dyDescent="0.3">
      <c r="A64" s="48" t="s">
        <v>413</v>
      </c>
      <c r="B64" s="48" t="s">
        <v>380</v>
      </c>
      <c r="C64" s="5">
        <f t="shared" si="1"/>
        <v>1</v>
      </c>
    </row>
    <row r="65" spans="1:3" x14ac:dyDescent="0.3">
      <c r="A65" s="48" t="s">
        <v>413</v>
      </c>
      <c r="B65" s="48" t="s">
        <v>383</v>
      </c>
      <c r="C65" s="5">
        <f t="shared" si="1"/>
        <v>1</v>
      </c>
    </row>
    <row r="66" spans="1:3" x14ac:dyDescent="0.3">
      <c r="A66" s="48">
        <v>8809848764134</v>
      </c>
      <c r="B66" s="48" t="s">
        <v>384</v>
      </c>
      <c r="C66" s="5">
        <f t="shared" ref="C66:C129" si="2">COUNTIF(A:A,B66)</f>
        <v>1</v>
      </c>
    </row>
    <row r="67" spans="1:3" x14ac:dyDescent="0.3">
      <c r="A67" s="48">
        <v>8809848764134</v>
      </c>
      <c r="B67" s="48" t="s">
        <v>381</v>
      </c>
      <c r="C67" s="5">
        <f t="shared" si="2"/>
        <v>2</v>
      </c>
    </row>
    <row r="68" spans="1:3" x14ac:dyDescent="0.3">
      <c r="A68" s="48">
        <v>8809848764134</v>
      </c>
      <c r="B68" s="48">
        <v>8809798693386</v>
      </c>
      <c r="C68" s="5">
        <f t="shared" si="2"/>
        <v>2</v>
      </c>
    </row>
    <row r="69" spans="1:3" x14ac:dyDescent="0.3">
      <c r="A69" s="48">
        <v>8809848764189</v>
      </c>
      <c r="B69" s="48">
        <v>8809848765834</v>
      </c>
      <c r="C69" s="5">
        <f t="shared" si="2"/>
        <v>1</v>
      </c>
    </row>
    <row r="70" spans="1:3" x14ac:dyDescent="0.3">
      <c r="A70" s="48">
        <v>8809848764189</v>
      </c>
      <c r="B70" s="48" t="s">
        <v>372</v>
      </c>
      <c r="C70" s="5">
        <f t="shared" si="2"/>
        <v>2</v>
      </c>
    </row>
    <row r="71" spans="1:3" x14ac:dyDescent="0.3">
      <c r="A71" s="48">
        <v>8809848764189</v>
      </c>
      <c r="B71" s="48" t="s">
        <v>385</v>
      </c>
      <c r="C71" s="5">
        <f t="shared" si="2"/>
        <v>1</v>
      </c>
    </row>
    <row r="72" spans="1:3" x14ac:dyDescent="0.3">
      <c r="A72" s="48">
        <v>8809848764189</v>
      </c>
      <c r="B72" s="48">
        <v>8809798693430</v>
      </c>
      <c r="C72" s="5">
        <f t="shared" si="2"/>
        <v>3</v>
      </c>
    </row>
    <row r="73" spans="1:3" x14ac:dyDescent="0.3">
      <c r="A73" s="48">
        <v>8809848764189</v>
      </c>
      <c r="B73" s="48" t="s">
        <v>375</v>
      </c>
      <c r="C73" s="5">
        <f t="shared" si="2"/>
        <v>2</v>
      </c>
    </row>
    <row r="74" spans="1:3" x14ac:dyDescent="0.3">
      <c r="A74" s="48">
        <v>8809848764196</v>
      </c>
      <c r="B74" s="48" t="s">
        <v>376</v>
      </c>
      <c r="C74" s="5">
        <f t="shared" si="2"/>
        <v>1</v>
      </c>
    </row>
    <row r="75" spans="1:3" x14ac:dyDescent="0.3">
      <c r="A75" s="48">
        <v>8809848764196</v>
      </c>
      <c r="B75" s="48" t="s">
        <v>367</v>
      </c>
      <c r="C75" s="5">
        <f t="shared" si="2"/>
        <v>3</v>
      </c>
    </row>
    <row r="76" spans="1:3" x14ac:dyDescent="0.3">
      <c r="A76" s="48">
        <v>8809848764196</v>
      </c>
      <c r="B76" s="48" t="s">
        <v>368</v>
      </c>
      <c r="C76" s="5">
        <f t="shared" si="2"/>
        <v>1</v>
      </c>
    </row>
    <row r="77" spans="1:3" x14ac:dyDescent="0.3">
      <c r="A77" s="48">
        <v>8809848764134</v>
      </c>
      <c r="B77" s="48">
        <v>8809792685899</v>
      </c>
      <c r="C77" s="5">
        <f t="shared" si="2"/>
        <v>1</v>
      </c>
    </row>
    <row r="78" spans="1:3" x14ac:dyDescent="0.3">
      <c r="A78" s="48" t="s">
        <v>413</v>
      </c>
      <c r="B78" s="48" t="s">
        <v>399</v>
      </c>
      <c r="C78" s="5">
        <f t="shared" si="2"/>
        <v>1</v>
      </c>
    </row>
    <row r="79" spans="1:3" x14ac:dyDescent="0.3">
      <c r="A79" s="48" t="s">
        <v>413</v>
      </c>
      <c r="B79" s="48" t="s">
        <v>398</v>
      </c>
      <c r="C79" s="5">
        <f t="shared" si="2"/>
        <v>1</v>
      </c>
    </row>
    <row r="80" spans="1:3" x14ac:dyDescent="0.3">
      <c r="A80" s="48" t="s">
        <v>413</v>
      </c>
      <c r="B80" s="48" t="s">
        <v>400</v>
      </c>
      <c r="C80" s="5">
        <f t="shared" si="2"/>
        <v>2</v>
      </c>
    </row>
    <row r="81" spans="1:3" x14ac:dyDescent="0.3">
      <c r="A81" s="48" t="s">
        <v>413</v>
      </c>
      <c r="B81" s="48" t="s">
        <v>404</v>
      </c>
      <c r="C81" s="5">
        <f t="shared" si="2"/>
        <v>5</v>
      </c>
    </row>
    <row r="82" spans="1:3" x14ac:dyDescent="0.3">
      <c r="A82" s="48">
        <v>8809848761812</v>
      </c>
      <c r="B82" s="48" t="s">
        <v>406</v>
      </c>
      <c r="C82" s="5">
        <f t="shared" si="2"/>
        <v>2</v>
      </c>
    </row>
    <row r="83" spans="1:3" x14ac:dyDescent="0.3">
      <c r="A83" s="48">
        <v>8809848761966</v>
      </c>
      <c r="B83" s="48" t="s">
        <v>396</v>
      </c>
      <c r="C83" s="5">
        <f t="shared" si="2"/>
        <v>2</v>
      </c>
    </row>
    <row r="84" spans="1:3" x14ac:dyDescent="0.3">
      <c r="A84" s="48">
        <v>8809848761966</v>
      </c>
      <c r="B84" s="48" t="s">
        <v>369</v>
      </c>
      <c r="C84" s="5">
        <f t="shared" si="2"/>
        <v>3</v>
      </c>
    </row>
    <row r="85" spans="1:3" x14ac:dyDescent="0.3">
      <c r="A85" s="48">
        <v>8809848761966</v>
      </c>
      <c r="B85" s="48" t="s">
        <v>401</v>
      </c>
      <c r="C85" s="5">
        <f t="shared" si="2"/>
        <v>5</v>
      </c>
    </row>
    <row r="86" spans="1:3" x14ac:dyDescent="0.3">
      <c r="A86" s="48">
        <v>8809848761843</v>
      </c>
      <c r="B86" s="48" t="s">
        <v>403</v>
      </c>
      <c r="C86" s="5">
        <f t="shared" si="2"/>
        <v>2</v>
      </c>
    </row>
    <row r="87" spans="1:3" x14ac:dyDescent="0.3">
      <c r="A87" s="48">
        <v>8809848761843</v>
      </c>
      <c r="B87" s="48">
        <v>8809798693232</v>
      </c>
      <c r="C87" s="5">
        <f t="shared" si="2"/>
        <v>3</v>
      </c>
    </row>
    <row r="88" spans="1:3" x14ac:dyDescent="0.3">
      <c r="A88" s="48">
        <v>8809848761843</v>
      </c>
      <c r="B88" s="48">
        <v>8809798693126</v>
      </c>
      <c r="C88" s="5">
        <f t="shared" si="2"/>
        <v>3</v>
      </c>
    </row>
    <row r="89" spans="1:3" x14ac:dyDescent="0.3">
      <c r="A89" s="48">
        <v>8809848761881</v>
      </c>
      <c r="B89" s="48">
        <v>8809798693072</v>
      </c>
      <c r="C89" s="5">
        <f t="shared" si="2"/>
        <v>5</v>
      </c>
    </row>
    <row r="90" spans="1:3" x14ac:dyDescent="0.3">
      <c r="A90" s="48">
        <v>8809848761843</v>
      </c>
      <c r="B90" s="48" t="s">
        <v>397</v>
      </c>
      <c r="C90" s="5">
        <f t="shared" si="2"/>
        <v>1</v>
      </c>
    </row>
    <row r="91" spans="1:3" x14ac:dyDescent="0.3">
      <c r="A91" s="48">
        <v>8809848761843</v>
      </c>
      <c r="B91" s="48" t="s">
        <v>373</v>
      </c>
      <c r="C91" s="5">
        <f t="shared" si="2"/>
        <v>1</v>
      </c>
    </row>
    <row r="92" spans="1:3" x14ac:dyDescent="0.3">
      <c r="A92" s="48">
        <v>8809848761843</v>
      </c>
      <c r="B92" s="48">
        <v>8809848762130</v>
      </c>
      <c r="C92" s="5">
        <f t="shared" si="2"/>
        <v>3</v>
      </c>
    </row>
    <row r="93" spans="1:3" x14ac:dyDescent="0.3">
      <c r="A93" s="48">
        <v>8809848761843</v>
      </c>
      <c r="B93" s="48">
        <v>8809848762116</v>
      </c>
      <c r="C93" s="5">
        <f t="shared" si="2"/>
        <v>2</v>
      </c>
    </row>
    <row r="94" spans="1:3" x14ac:dyDescent="0.3">
      <c r="A94" s="48" t="s">
        <v>414</v>
      </c>
      <c r="B94" s="48">
        <v>8809798693294</v>
      </c>
      <c r="C94" s="5">
        <f t="shared" si="2"/>
        <v>1</v>
      </c>
    </row>
    <row r="95" spans="1:3" x14ac:dyDescent="0.3">
      <c r="A95" s="48" t="s">
        <v>414</v>
      </c>
      <c r="B95" s="48">
        <v>8809798693416</v>
      </c>
      <c r="C95" s="5">
        <f t="shared" si="2"/>
        <v>1</v>
      </c>
    </row>
    <row r="96" spans="1:3" x14ac:dyDescent="0.3">
      <c r="A96" s="48" t="s">
        <v>414</v>
      </c>
      <c r="B96" s="48">
        <v>8809798693423</v>
      </c>
      <c r="C96" s="5">
        <f t="shared" si="2"/>
        <v>1</v>
      </c>
    </row>
    <row r="97" spans="1:3" x14ac:dyDescent="0.3">
      <c r="A97" s="48" t="s">
        <v>414</v>
      </c>
      <c r="B97" s="48">
        <v>8809821534174</v>
      </c>
      <c r="C97" s="5">
        <f t="shared" si="2"/>
        <v>1</v>
      </c>
    </row>
    <row r="98" spans="1:3" x14ac:dyDescent="0.3">
      <c r="A98" s="48">
        <v>8809848762581</v>
      </c>
      <c r="B98" s="48">
        <v>8809798693485</v>
      </c>
      <c r="C98" s="5">
        <f t="shared" si="2"/>
        <v>1</v>
      </c>
    </row>
    <row r="99" spans="1:3" x14ac:dyDescent="0.3">
      <c r="A99" s="48">
        <v>8809848762581</v>
      </c>
      <c r="B99" s="48">
        <v>8800242292926</v>
      </c>
      <c r="C99" s="5">
        <f t="shared" si="2"/>
        <v>1</v>
      </c>
    </row>
    <row r="100" spans="1:3" x14ac:dyDescent="0.3">
      <c r="A100" s="48" t="s">
        <v>386</v>
      </c>
      <c r="B100" s="48">
        <v>8809816389901</v>
      </c>
      <c r="C100" s="5">
        <f t="shared" si="2"/>
        <v>1</v>
      </c>
    </row>
    <row r="101" spans="1:3" x14ac:dyDescent="0.3">
      <c r="A101" s="48">
        <v>8809848762604</v>
      </c>
      <c r="B101" s="48">
        <v>8809848762093</v>
      </c>
      <c r="C101" s="5">
        <f t="shared" si="2"/>
        <v>2</v>
      </c>
    </row>
    <row r="102" spans="1:3" x14ac:dyDescent="0.3">
      <c r="A102" s="48">
        <v>8809848762604</v>
      </c>
      <c r="B102" s="48">
        <v>8809848762147</v>
      </c>
      <c r="C102" s="5">
        <f t="shared" si="2"/>
        <v>2</v>
      </c>
    </row>
    <row r="103" spans="1:3" x14ac:dyDescent="0.3">
      <c r="A103" s="48">
        <v>8809848762604</v>
      </c>
      <c r="B103" s="48">
        <v>8809848762154</v>
      </c>
      <c r="C103" s="5">
        <f t="shared" si="2"/>
        <v>2</v>
      </c>
    </row>
    <row r="104" spans="1:3" x14ac:dyDescent="0.3">
      <c r="A104" s="48">
        <v>8809848762604</v>
      </c>
      <c r="B104" s="48" t="s">
        <v>405</v>
      </c>
      <c r="C104" s="5">
        <f t="shared" si="2"/>
        <v>2</v>
      </c>
    </row>
    <row r="105" spans="1:3" x14ac:dyDescent="0.3">
      <c r="A105" s="48">
        <v>8809848762604</v>
      </c>
      <c r="B105" s="48">
        <v>8809798693140</v>
      </c>
      <c r="C105" s="5">
        <f t="shared" si="2"/>
        <v>1</v>
      </c>
    </row>
    <row r="106" spans="1:3" x14ac:dyDescent="0.3">
      <c r="A106" s="48">
        <v>8800242296542</v>
      </c>
      <c r="B106" s="48">
        <v>8809798693089</v>
      </c>
      <c r="C106" s="5">
        <f t="shared" si="2"/>
        <v>5</v>
      </c>
    </row>
    <row r="107" spans="1:3" x14ac:dyDescent="0.3">
      <c r="A107" s="48">
        <v>8800242296474</v>
      </c>
      <c r="B107" s="48">
        <v>8809798693065</v>
      </c>
      <c r="C107" s="5">
        <f t="shared" si="2"/>
        <v>3</v>
      </c>
    </row>
    <row r="108" spans="1:3" x14ac:dyDescent="0.3">
      <c r="A108" s="48">
        <v>8800242296474</v>
      </c>
      <c r="B108" s="48">
        <v>8809798693225</v>
      </c>
      <c r="C108" s="5">
        <f t="shared" si="2"/>
        <v>2</v>
      </c>
    </row>
    <row r="109" spans="1:3" x14ac:dyDescent="0.3">
      <c r="A109" s="48">
        <v>8809848762543</v>
      </c>
      <c r="B109" s="48">
        <v>8809798693188</v>
      </c>
      <c r="C109" s="5">
        <f t="shared" si="2"/>
        <v>2</v>
      </c>
    </row>
    <row r="110" spans="1:3" x14ac:dyDescent="0.3">
      <c r="A110" s="48" t="s">
        <v>410</v>
      </c>
      <c r="B110" s="48">
        <v>8809798693102</v>
      </c>
      <c r="C110" s="5">
        <f t="shared" si="2"/>
        <v>2</v>
      </c>
    </row>
    <row r="111" spans="1:3" x14ac:dyDescent="0.3">
      <c r="A111" s="48" t="s">
        <v>410</v>
      </c>
      <c r="B111" s="48">
        <v>8809798693201</v>
      </c>
      <c r="C111" s="5">
        <f t="shared" si="2"/>
        <v>4</v>
      </c>
    </row>
    <row r="112" spans="1:3" x14ac:dyDescent="0.3">
      <c r="A112" s="48" t="s">
        <v>410</v>
      </c>
      <c r="B112" s="48">
        <v>8809798693218</v>
      </c>
      <c r="C112" s="5">
        <f t="shared" si="2"/>
        <v>2</v>
      </c>
    </row>
    <row r="113" spans="1:3" x14ac:dyDescent="0.3">
      <c r="A113" s="48" t="s">
        <v>410</v>
      </c>
      <c r="B113" s="48">
        <v>8809798693096</v>
      </c>
      <c r="C113" s="5">
        <f t="shared" si="2"/>
        <v>6</v>
      </c>
    </row>
    <row r="114" spans="1:3" x14ac:dyDescent="0.3">
      <c r="A114" s="48">
        <v>8800242292148</v>
      </c>
      <c r="B114" s="48">
        <v>8800242296405</v>
      </c>
      <c r="C114" s="5">
        <f t="shared" si="2"/>
        <v>1</v>
      </c>
    </row>
    <row r="115" spans="1:3" x14ac:dyDescent="0.3">
      <c r="A115" s="48">
        <v>8800242292148</v>
      </c>
      <c r="B115" s="6"/>
      <c r="C115" s="5">
        <f t="shared" si="2"/>
        <v>0</v>
      </c>
    </row>
    <row r="116" spans="1:3" x14ac:dyDescent="0.3">
      <c r="A116" s="48">
        <v>8800242292216</v>
      </c>
      <c r="C116" s="5">
        <f t="shared" si="2"/>
        <v>0</v>
      </c>
    </row>
    <row r="117" spans="1:3" x14ac:dyDescent="0.3">
      <c r="A117" s="48">
        <v>8800242292216</v>
      </c>
      <c r="C117" s="5">
        <f t="shared" si="2"/>
        <v>0</v>
      </c>
    </row>
    <row r="118" spans="1:3" x14ac:dyDescent="0.3">
      <c r="A118" s="48">
        <v>8809798693270</v>
      </c>
      <c r="C118" s="5">
        <f t="shared" si="2"/>
        <v>0</v>
      </c>
    </row>
    <row r="119" spans="1:3" x14ac:dyDescent="0.3">
      <c r="A119" s="48">
        <v>8809798693270</v>
      </c>
      <c r="C119" s="5">
        <f t="shared" si="2"/>
        <v>0</v>
      </c>
    </row>
    <row r="120" spans="1:3" x14ac:dyDescent="0.3">
      <c r="A120" s="48" t="s">
        <v>391</v>
      </c>
      <c r="C120" s="5">
        <f t="shared" si="2"/>
        <v>0</v>
      </c>
    </row>
    <row r="121" spans="1:3" x14ac:dyDescent="0.3">
      <c r="A121" s="48" t="s">
        <v>391</v>
      </c>
      <c r="C121" s="5">
        <f t="shared" si="2"/>
        <v>0</v>
      </c>
    </row>
    <row r="122" spans="1:3" x14ac:dyDescent="0.3">
      <c r="A122" s="48">
        <v>8809848762543</v>
      </c>
      <c r="C122" s="5">
        <f t="shared" si="2"/>
        <v>0</v>
      </c>
    </row>
    <row r="123" spans="1:3" x14ac:dyDescent="0.3">
      <c r="A123" s="48">
        <v>8809848762543</v>
      </c>
      <c r="C123" s="5">
        <f t="shared" si="2"/>
        <v>0</v>
      </c>
    </row>
    <row r="124" spans="1:3" x14ac:dyDescent="0.3">
      <c r="A124" s="48">
        <v>8809848762505</v>
      </c>
      <c r="C124" s="5">
        <f t="shared" si="2"/>
        <v>0</v>
      </c>
    </row>
    <row r="125" spans="1:3" x14ac:dyDescent="0.3">
      <c r="A125" s="48">
        <v>8809848762505</v>
      </c>
      <c r="C125" s="5">
        <f t="shared" si="2"/>
        <v>0</v>
      </c>
    </row>
    <row r="126" spans="1:3" x14ac:dyDescent="0.3">
      <c r="A126" s="48" t="s">
        <v>418</v>
      </c>
      <c r="C126" s="5">
        <f t="shared" si="2"/>
        <v>0</v>
      </c>
    </row>
    <row r="127" spans="1:3" x14ac:dyDescent="0.3">
      <c r="A127" s="48" t="s">
        <v>418</v>
      </c>
      <c r="C127" s="5">
        <f t="shared" si="2"/>
        <v>0</v>
      </c>
    </row>
    <row r="128" spans="1:3" x14ac:dyDescent="0.3">
      <c r="A128" s="48" t="s">
        <v>414</v>
      </c>
      <c r="C128" s="5">
        <f t="shared" si="2"/>
        <v>0</v>
      </c>
    </row>
    <row r="129" spans="1:3" x14ac:dyDescent="0.3">
      <c r="A129" s="48" t="s">
        <v>414</v>
      </c>
      <c r="C129" s="5">
        <f t="shared" si="2"/>
        <v>0</v>
      </c>
    </row>
    <row r="130" spans="1:3" x14ac:dyDescent="0.3">
      <c r="A130" s="48">
        <v>8809848762536</v>
      </c>
      <c r="C130" s="5">
        <f t="shared" ref="C130:C193" si="3">COUNTIF(A:A,B130)</f>
        <v>0</v>
      </c>
    </row>
    <row r="131" spans="1:3" x14ac:dyDescent="0.3">
      <c r="A131" s="48">
        <v>8809848762529</v>
      </c>
      <c r="C131" s="5">
        <f t="shared" si="3"/>
        <v>0</v>
      </c>
    </row>
    <row r="132" spans="1:3" x14ac:dyDescent="0.3">
      <c r="A132" s="48">
        <v>8809848762512</v>
      </c>
      <c r="C132" s="5">
        <f t="shared" si="3"/>
        <v>0</v>
      </c>
    </row>
    <row r="133" spans="1:3" x14ac:dyDescent="0.3">
      <c r="A133" s="48">
        <v>8809848762536</v>
      </c>
      <c r="C133" s="5">
        <f t="shared" si="3"/>
        <v>0</v>
      </c>
    </row>
    <row r="134" spans="1:3" x14ac:dyDescent="0.3">
      <c r="A134" s="48">
        <v>8809848765841</v>
      </c>
      <c r="C134" s="5">
        <f t="shared" si="3"/>
        <v>0</v>
      </c>
    </row>
    <row r="135" spans="1:3" x14ac:dyDescent="0.3">
      <c r="A135" s="48">
        <v>8809848762536</v>
      </c>
      <c r="C135" s="5">
        <f t="shared" si="3"/>
        <v>0</v>
      </c>
    </row>
    <row r="136" spans="1:3" x14ac:dyDescent="0.3">
      <c r="A136" s="48">
        <v>8809848762529</v>
      </c>
      <c r="C136" s="5">
        <f t="shared" si="3"/>
        <v>0</v>
      </c>
    </row>
    <row r="137" spans="1:3" x14ac:dyDescent="0.3">
      <c r="A137" s="48">
        <v>8809848762529</v>
      </c>
      <c r="C137" s="5">
        <f t="shared" si="3"/>
        <v>0</v>
      </c>
    </row>
    <row r="138" spans="1:3" x14ac:dyDescent="0.3">
      <c r="A138" s="48">
        <v>8809848762529</v>
      </c>
      <c r="C138" s="5">
        <f t="shared" si="3"/>
        <v>0</v>
      </c>
    </row>
    <row r="139" spans="1:3" x14ac:dyDescent="0.3">
      <c r="A139" s="48">
        <v>8809848762536</v>
      </c>
      <c r="C139" s="5">
        <f t="shared" si="3"/>
        <v>0</v>
      </c>
    </row>
    <row r="140" spans="1:3" x14ac:dyDescent="0.3">
      <c r="A140" s="48">
        <v>8809848762512</v>
      </c>
      <c r="C140" s="5">
        <f t="shared" si="3"/>
        <v>0</v>
      </c>
    </row>
    <row r="141" spans="1:3" x14ac:dyDescent="0.3">
      <c r="A141" s="48">
        <v>8809848765841</v>
      </c>
      <c r="C141" s="5">
        <f t="shared" si="3"/>
        <v>0</v>
      </c>
    </row>
    <row r="142" spans="1:3" x14ac:dyDescent="0.3">
      <c r="A142" s="48" t="s">
        <v>412</v>
      </c>
      <c r="C142" s="5">
        <f t="shared" si="3"/>
        <v>0</v>
      </c>
    </row>
    <row r="143" spans="1:3" x14ac:dyDescent="0.3">
      <c r="A143" s="48" t="s">
        <v>412</v>
      </c>
      <c r="C143" s="5">
        <f t="shared" si="3"/>
        <v>0</v>
      </c>
    </row>
    <row r="144" spans="1:3" x14ac:dyDescent="0.3">
      <c r="A144" s="48" t="s">
        <v>412</v>
      </c>
      <c r="C144" s="5">
        <f t="shared" si="3"/>
        <v>0</v>
      </c>
    </row>
    <row r="145" spans="1:3" x14ac:dyDescent="0.3">
      <c r="A145" s="48" t="s">
        <v>412</v>
      </c>
      <c r="C145" s="5">
        <f t="shared" si="3"/>
        <v>0</v>
      </c>
    </row>
    <row r="146" spans="1:3" x14ac:dyDescent="0.3">
      <c r="A146" s="48" t="s">
        <v>419</v>
      </c>
      <c r="C146" s="5">
        <f t="shared" si="3"/>
        <v>0</v>
      </c>
    </row>
    <row r="147" spans="1:3" x14ac:dyDescent="0.3">
      <c r="A147" s="48" t="s">
        <v>419</v>
      </c>
      <c r="C147" s="5">
        <f t="shared" si="3"/>
        <v>0</v>
      </c>
    </row>
    <row r="148" spans="1:3" x14ac:dyDescent="0.3">
      <c r="A148" s="48" t="s">
        <v>409</v>
      </c>
      <c r="C148" s="5">
        <f t="shared" si="3"/>
        <v>0</v>
      </c>
    </row>
    <row r="149" spans="1:3" x14ac:dyDescent="0.3">
      <c r="A149" s="48" t="s">
        <v>415</v>
      </c>
      <c r="C149" s="5">
        <f t="shared" si="3"/>
        <v>0</v>
      </c>
    </row>
    <row r="150" spans="1:3" x14ac:dyDescent="0.3">
      <c r="A150" s="48" t="s">
        <v>415</v>
      </c>
      <c r="C150" s="5">
        <f t="shared" si="3"/>
        <v>0</v>
      </c>
    </row>
    <row r="151" spans="1:3" x14ac:dyDescent="0.3">
      <c r="A151" s="48" t="s">
        <v>416</v>
      </c>
      <c r="C151" s="5">
        <f t="shared" si="3"/>
        <v>0</v>
      </c>
    </row>
    <row r="152" spans="1:3" x14ac:dyDescent="0.3">
      <c r="A152" s="48" t="s">
        <v>411</v>
      </c>
      <c r="C152" s="5">
        <f t="shared" si="3"/>
        <v>0</v>
      </c>
    </row>
    <row r="153" spans="1:3" x14ac:dyDescent="0.3">
      <c r="A153" s="48" t="s">
        <v>417</v>
      </c>
      <c r="C153" s="5">
        <f t="shared" si="3"/>
        <v>0</v>
      </c>
    </row>
    <row r="154" spans="1:3" x14ac:dyDescent="0.3">
      <c r="A154" s="48" t="s">
        <v>417</v>
      </c>
      <c r="C154" s="5">
        <f t="shared" si="3"/>
        <v>0</v>
      </c>
    </row>
    <row r="155" spans="1:3" x14ac:dyDescent="0.3">
      <c r="A155" s="48" t="s">
        <v>409</v>
      </c>
      <c r="C155" s="5">
        <f t="shared" si="3"/>
        <v>0</v>
      </c>
    </row>
    <row r="156" spans="1:3" x14ac:dyDescent="0.3">
      <c r="A156" s="48" t="s">
        <v>371</v>
      </c>
      <c r="C156" s="5">
        <f t="shared" si="3"/>
        <v>0</v>
      </c>
    </row>
    <row r="157" spans="1:3" x14ac:dyDescent="0.3">
      <c r="A157" s="48" t="s">
        <v>374</v>
      </c>
      <c r="C157" s="5">
        <f t="shared" si="3"/>
        <v>0</v>
      </c>
    </row>
    <row r="158" spans="1:3" x14ac:dyDescent="0.3">
      <c r="A158" s="48" t="s">
        <v>382</v>
      </c>
      <c r="C158" s="5">
        <f t="shared" si="3"/>
        <v>0</v>
      </c>
    </row>
    <row r="159" spans="1:3" x14ac:dyDescent="0.3">
      <c r="A159" s="48" t="s">
        <v>379</v>
      </c>
      <c r="C159" s="5">
        <f t="shared" si="3"/>
        <v>0</v>
      </c>
    </row>
    <row r="160" spans="1:3" x14ac:dyDescent="0.3">
      <c r="A160" s="48" t="s">
        <v>382</v>
      </c>
      <c r="C160" s="5">
        <f t="shared" si="3"/>
        <v>0</v>
      </c>
    </row>
    <row r="161" spans="1:3" x14ac:dyDescent="0.3">
      <c r="A161" s="48">
        <v>8809848762581</v>
      </c>
      <c r="C161" s="5">
        <f t="shared" si="3"/>
        <v>0</v>
      </c>
    </row>
    <row r="162" spans="1:3" x14ac:dyDescent="0.3">
      <c r="A162" s="48" t="s">
        <v>393</v>
      </c>
      <c r="C162" s="5">
        <f t="shared" si="3"/>
        <v>0</v>
      </c>
    </row>
    <row r="163" spans="1:3" x14ac:dyDescent="0.3">
      <c r="A163" s="48" t="s">
        <v>393</v>
      </c>
      <c r="C163" s="5">
        <f t="shared" si="3"/>
        <v>0</v>
      </c>
    </row>
    <row r="164" spans="1:3" x14ac:dyDescent="0.3">
      <c r="A164" s="48" t="s">
        <v>394</v>
      </c>
      <c r="C164" s="5">
        <f t="shared" si="3"/>
        <v>0</v>
      </c>
    </row>
    <row r="165" spans="1:3" x14ac:dyDescent="0.3">
      <c r="A165" s="48">
        <v>8800242292131</v>
      </c>
      <c r="C165" s="5">
        <f t="shared" si="3"/>
        <v>0</v>
      </c>
    </row>
    <row r="166" spans="1:3" x14ac:dyDescent="0.3">
      <c r="A166" s="48" t="s">
        <v>392</v>
      </c>
      <c r="C166" s="5">
        <f t="shared" si="3"/>
        <v>0</v>
      </c>
    </row>
    <row r="167" spans="1:3" x14ac:dyDescent="0.3">
      <c r="A167" s="48" t="s">
        <v>392</v>
      </c>
      <c r="C167" s="5">
        <f t="shared" si="3"/>
        <v>0</v>
      </c>
    </row>
    <row r="168" spans="1:3" x14ac:dyDescent="0.3">
      <c r="A168" s="48" t="s">
        <v>380</v>
      </c>
      <c r="C168" s="5">
        <f t="shared" si="3"/>
        <v>0</v>
      </c>
    </row>
    <row r="169" spans="1:3" x14ac:dyDescent="0.3">
      <c r="A169" s="48" t="s">
        <v>383</v>
      </c>
      <c r="C169" s="5">
        <f t="shared" si="3"/>
        <v>0</v>
      </c>
    </row>
    <row r="170" spans="1:3" x14ac:dyDescent="0.3">
      <c r="A170" s="48" t="s">
        <v>384</v>
      </c>
      <c r="C170" s="5">
        <f t="shared" si="3"/>
        <v>0</v>
      </c>
    </row>
    <row r="171" spans="1:3" x14ac:dyDescent="0.3">
      <c r="A171" s="48" t="s">
        <v>381</v>
      </c>
      <c r="C171" s="5">
        <f t="shared" si="3"/>
        <v>0</v>
      </c>
    </row>
    <row r="172" spans="1:3" x14ac:dyDescent="0.3">
      <c r="A172" s="48" t="s">
        <v>381</v>
      </c>
      <c r="C172" s="5">
        <f t="shared" si="3"/>
        <v>0</v>
      </c>
    </row>
    <row r="173" spans="1:3" x14ac:dyDescent="0.3">
      <c r="A173" s="48">
        <v>8809848762505</v>
      </c>
      <c r="C173" s="5">
        <f t="shared" si="3"/>
        <v>0</v>
      </c>
    </row>
    <row r="174" spans="1:3" x14ac:dyDescent="0.3">
      <c r="A174" s="48">
        <v>8809798693386</v>
      </c>
      <c r="C174" s="5">
        <f t="shared" si="3"/>
        <v>0</v>
      </c>
    </row>
    <row r="175" spans="1:3" x14ac:dyDescent="0.3">
      <c r="A175" s="48">
        <v>8809798693386</v>
      </c>
      <c r="C175" s="5">
        <f t="shared" si="3"/>
        <v>0</v>
      </c>
    </row>
    <row r="176" spans="1:3" x14ac:dyDescent="0.3">
      <c r="A176" s="48">
        <v>8809848765834</v>
      </c>
      <c r="C176" s="5">
        <f t="shared" si="3"/>
        <v>0</v>
      </c>
    </row>
    <row r="177" spans="1:3" x14ac:dyDescent="0.3">
      <c r="A177" s="48" t="s">
        <v>372</v>
      </c>
      <c r="C177" s="5">
        <f t="shared" si="3"/>
        <v>0</v>
      </c>
    </row>
    <row r="178" spans="1:3" x14ac:dyDescent="0.3">
      <c r="A178" s="48" t="s">
        <v>372</v>
      </c>
      <c r="C178" s="5">
        <f t="shared" si="3"/>
        <v>0</v>
      </c>
    </row>
    <row r="179" spans="1:3" x14ac:dyDescent="0.3">
      <c r="A179" s="48" t="s">
        <v>385</v>
      </c>
      <c r="C179" s="5">
        <f t="shared" si="3"/>
        <v>0</v>
      </c>
    </row>
    <row r="180" spans="1:3" x14ac:dyDescent="0.3">
      <c r="A180" s="48">
        <v>8809798693430</v>
      </c>
      <c r="C180" s="5">
        <f t="shared" si="3"/>
        <v>0</v>
      </c>
    </row>
    <row r="181" spans="1:3" x14ac:dyDescent="0.3">
      <c r="A181" s="48">
        <v>8809798693430</v>
      </c>
      <c r="C181" s="5">
        <f t="shared" si="3"/>
        <v>0</v>
      </c>
    </row>
    <row r="182" spans="1:3" x14ac:dyDescent="0.3">
      <c r="A182" s="48" t="s">
        <v>375</v>
      </c>
      <c r="C182" s="5">
        <f t="shared" si="3"/>
        <v>0</v>
      </c>
    </row>
    <row r="183" spans="1:3" x14ac:dyDescent="0.3">
      <c r="A183" s="48" t="s">
        <v>375</v>
      </c>
      <c r="C183" s="5">
        <f t="shared" si="3"/>
        <v>0</v>
      </c>
    </row>
    <row r="184" spans="1:3" x14ac:dyDescent="0.3">
      <c r="A184" s="48" t="s">
        <v>376</v>
      </c>
      <c r="C184" s="5">
        <f t="shared" si="3"/>
        <v>0</v>
      </c>
    </row>
    <row r="185" spans="1:3" x14ac:dyDescent="0.3">
      <c r="A185" s="48" t="s">
        <v>367</v>
      </c>
      <c r="C185" s="5">
        <f t="shared" si="3"/>
        <v>0</v>
      </c>
    </row>
    <row r="186" spans="1:3" x14ac:dyDescent="0.3">
      <c r="A186" s="48" t="s">
        <v>367</v>
      </c>
      <c r="C186" s="5">
        <f t="shared" si="3"/>
        <v>0</v>
      </c>
    </row>
    <row r="187" spans="1:3" x14ac:dyDescent="0.3">
      <c r="A187" s="48" t="s">
        <v>367</v>
      </c>
      <c r="C187" s="5">
        <f t="shared" si="3"/>
        <v>0</v>
      </c>
    </row>
    <row r="188" spans="1:3" x14ac:dyDescent="0.3">
      <c r="A188" s="48" t="s">
        <v>368</v>
      </c>
      <c r="C188" s="5">
        <f t="shared" si="3"/>
        <v>0</v>
      </c>
    </row>
    <row r="189" spans="1:3" x14ac:dyDescent="0.3">
      <c r="A189" s="48">
        <v>8809792685899</v>
      </c>
      <c r="C189" s="5">
        <f t="shared" si="3"/>
        <v>0</v>
      </c>
    </row>
    <row r="190" spans="1:3" x14ac:dyDescent="0.3">
      <c r="A190" s="48" t="s">
        <v>399</v>
      </c>
      <c r="C190" s="5">
        <f t="shared" si="3"/>
        <v>0</v>
      </c>
    </row>
    <row r="191" spans="1:3" x14ac:dyDescent="0.3">
      <c r="A191" s="48" t="s">
        <v>398</v>
      </c>
      <c r="C191" s="5">
        <f t="shared" si="3"/>
        <v>0</v>
      </c>
    </row>
    <row r="192" spans="1:3" x14ac:dyDescent="0.3">
      <c r="A192" s="48" t="s">
        <v>400</v>
      </c>
      <c r="C192" s="5">
        <f t="shared" si="3"/>
        <v>0</v>
      </c>
    </row>
    <row r="193" spans="1:3" x14ac:dyDescent="0.3">
      <c r="A193" s="48" t="s">
        <v>404</v>
      </c>
      <c r="C193" s="5">
        <f t="shared" si="3"/>
        <v>0</v>
      </c>
    </row>
    <row r="194" spans="1:3" x14ac:dyDescent="0.3">
      <c r="A194" s="48" t="s">
        <v>406</v>
      </c>
      <c r="C194" s="5">
        <f t="shared" ref="C194:C257" si="4">COUNTIF(A:A,B194)</f>
        <v>0</v>
      </c>
    </row>
    <row r="195" spans="1:3" x14ac:dyDescent="0.3">
      <c r="A195" s="48" t="s">
        <v>396</v>
      </c>
      <c r="C195" s="5">
        <f t="shared" si="4"/>
        <v>0</v>
      </c>
    </row>
    <row r="196" spans="1:3" x14ac:dyDescent="0.3">
      <c r="A196" s="48" t="s">
        <v>396</v>
      </c>
      <c r="C196" s="5">
        <f t="shared" si="4"/>
        <v>0</v>
      </c>
    </row>
    <row r="197" spans="1:3" x14ac:dyDescent="0.3">
      <c r="A197" s="48" t="s">
        <v>369</v>
      </c>
      <c r="C197" s="5">
        <f t="shared" si="4"/>
        <v>0</v>
      </c>
    </row>
    <row r="198" spans="1:3" x14ac:dyDescent="0.3">
      <c r="A198" s="48" t="s">
        <v>401</v>
      </c>
      <c r="C198" s="5">
        <f t="shared" si="4"/>
        <v>0</v>
      </c>
    </row>
    <row r="199" spans="1:3" x14ac:dyDescent="0.3">
      <c r="A199" s="48" t="s">
        <v>401</v>
      </c>
      <c r="C199" s="5">
        <f t="shared" si="4"/>
        <v>0</v>
      </c>
    </row>
    <row r="200" spans="1:3" x14ac:dyDescent="0.3">
      <c r="A200" s="48" t="s">
        <v>403</v>
      </c>
      <c r="C200" s="5">
        <f t="shared" si="4"/>
        <v>0</v>
      </c>
    </row>
    <row r="201" spans="1:3" x14ac:dyDescent="0.3">
      <c r="A201" s="48" t="s">
        <v>407</v>
      </c>
      <c r="C201" s="5">
        <f t="shared" si="4"/>
        <v>0</v>
      </c>
    </row>
    <row r="202" spans="1:3" x14ac:dyDescent="0.3">
      <c r="A202" s="48" t="s">
        <v>401</v>
      </c>
      <c r="C202" s="5">
        <f t="shared" si="4"/>
        <v>0</v>
      </c>
    </row>
    <row r="203" spans="1:3" x14ac:dyDescent="0.3">
      <c r="A203" s="48" t="s">
        <v>401</v>
      </c>
      <c r="C203" s="5">
        <f t="shared" si="4"/>
        <v>0</v>
      </c>
    </row>
    <row r="204" spans="1:3" x14ac:dyDescent="0.3">
      <c r="A204" s="48">
        <v>8809798693232</v>
      </c>
      <c r="C204" s="5">
        <f t="shared" si="4"/>
        <v>0</v>
      </c>
    </row>
    <row r="205" spans="1:3" x14ac:dyDescent="0.3">
      <c r="A205" s="48">
        <v>8809798693126</v>
      </c>
      <c r="C205" s="5">
        <f t="shared" si="4"/>
        <v>0</v>
      </c>
    </row>
    <row r="206" spans="1:3" x14ac:dyDescent="0.3">
      <c r="A206" s="48">
        <v>8809798693126</v>
      </c>
      <c r="C206" s="5">
        <f t="shared" si="4"/>
        <v>0</v>
      </c>
    </row>
    <row r="207" spans="1:3" x14ac:dyDescent="0.3">
      <c r="A207" s="48">
        <v>8809798693072</v>
      </c>
      <c r="C207" s="5">
        <f t="shared" si="4"/>
        <v>0</v>
      </c>
    </row>
    <row r="208" spans="1:3" x14ac:dyDescent="0.3">
      <c r="A208" s="48">
        <v>8809798693072</v>
      </c>
      <c r="C208" s="5">
        <f t="shared" si="4"/>
        <v>0</v>
      </c>
    </row>
    <row r="209" spans="1:3" x14ac:dyDescent="0.3">
      <c r="A209" s="48">
        <v>8809798693072</v>
      </c>
      <c r="C209" s="5">
        <f t="shared" si="4"/>
        <v>0</v>
      </c>
    </row>
    <row r="210" spans="1:3" x14ac:dyDescent="0.3">
      <c r="A210" s="48" t="s">
        <v>397</v>
      </c>
      <c r="C210" s="5">
        <f t="shared" si="4"/>
        <v>0</v>
      </c>
    </row>
    <row r="211" spans="1:3" x14ac:dyDescent="0.3">
      <c r="A211" s="48" t="s">
        <v>373</v>
      </c>
      <c r="C211" s="5">
        <f t="shared" si="4"/>
        <v>0</v>
      </c>
    </row>
    <row r="212" spans="1:3" x14ac:dyDescent="0.3">
      <c r="A212" s="48" t="s">
        <v>374</v>
      </c>
      <c r="C212" s="5">
        <f t="shared" si="4"/>
        <v>0</v>
      </c>
    </row>
    <row r="213" spans="1:3" x14ac:dyDescent="0.3">
      <c r="A213" s="48">
        <v>8809848762130</v>
      </c>
      <c r="C213" s="5">
        <f t="shared" si="4"/>
        <v>0</v>
      </c>
    </row>
    <row r="214" spans="1:3" x14ac:dyDescent="0.3">
      <c r="A214" s="48">
        <v>8809848762130</v>
      </c>
      <c r="C214" s="5">
        <f t="shared" si="4"/>
        <v>0</v>
      </c>
    </row>
    <row r="215" spans="1:3" x14ac:dyDescent="0.3">
      <c r="A215" s="48">
        <v>8809848762116</v>
      </c>
      <c r="C215" s="5">
        <f t="shared" si="4"/>
        <v>0</v>
      </c>
    </row>
    <row r="216" spans="1:3" x14ac:dyDescent="0.3">
      <c r="A216" s="48">
        <v>8809848762130</v>
      </c>
      <c r="C216" s="5">
        <f t="shared" si="4"/>
        <v>0</v>
      </c>
    </row>
    <row r="217" spans="1:3" x14ac:dyDescent="0.3">
      <c r="A217" s="48">
        <v>8809798693430</v>
      </c>
      <c r="C217" s="5">
        <f t="shared" si="4"/>
        <v>0</v>
      </c>
    </row>
    <row r="218" spans="1:3" x14ac:dyDescent="0.3">
      <c r="A218" s="48">
        <v>8809798693294</v>
      </c>
      <c r="C218" s="5">
        <f t="shared" si="4"/>
        <v>0</v>
      </c>
    </row>
    <row r="219" spans="1:3" x14ac:dyDescent="0.3">
      <c r="A219" s="48">
        <v>8809798693416</v>
      </c>
      <c r="C219" s="5">
        <f t="shared" si="4"/>
        <v>0</v>
      </c>
    </row>
    <row r="220" spans="1:3" x14ac:dyDescent="0.3">
      <c r="A220" s="48">
        <v>8809848762505</v>
      </c>
      <c r="C220" s="5">
        <f t="shared" si="4"/>
        <v>0</v>
      </c>
    </row>
    <row r="221" spans="1:3" x14ac:dyDescent="0.3">
      <c r="A221" s="48">
        <v>8809848762512</v>
      </c>
      <c r="C221" s="5">
        <f t="shared" si="4"/>
        <v>0</v>
      </c>
    </row>
    <row r="222" spans="1:3" x14ac:dyDescent="0.3">
      <c r="A222" s="48">
        <v>8809798693423</v>
      </c>
      <c r="C222" s="5">
        <f t="shared" si="4"/>
        <v>0</v>
      </c>
    </row>
    <row r="223" spans="1:3" x14ac:dyDescent="0.3">
      <c r="A223" s="48">
        <v>8809848762116</v>
      </c>
      <c r="C223" s="5">
        <f t="shared" si="4"/>
        <v>0</v>
      </c>
    </row>
    <row r="224" spans="1:3" x14ac:dyDescent="0.3">
      <c r="A224" s="48" t="s">
        <v>403</v>
      </c>
      <c r="C224" s="5">
        <f t="shared" si="4"/>
        <v>0</v>
      </c>
    </row>
    <row r="225" spans="1:3" x14ac:dyDescent="0.3">
      <c r="A225" s="48">
        <v>8809821534174</v>
      </c>
      <c r="C225" s="5">
        <f t="shared" si="4"/>
        <v>0</v>
      </c>
    </row>
    <row r="226" spans="1:3" x14ac:dyDescent="0.3">
      <c r="A226" s="48">
        <v>8809798693485</v>
      </c>
      <c r="C226" s="5">
        <f t="shared" si="4"/>
        <v>0</v>
      </c>
    </row>
    <row r="227" spans="1:3" x14ac:dyDescent="0.3">
      <c r="A227" s="48">
        <v>8800242292926</v>
      </c>
      <c r="C227" s="5">
        <f t="shared" si="4"/>
        <v>0</v>
      </c>
    </row>
    <row r="228" spans="1:3" x14ac:dyDescent="0.3">
      <c r="A228" s="48">
        <v>8809816389901</v>
      </c>
      <c r="C228" s="5">
        <f t="shared" si="4"/>
        <v>0</v>
      </c>
    </row>
    <row r="229" spans="1:3" x14ac:dyDescent="0.3">
      <c r="A229" s="48">
        <v>8809848762093</v>
      </c>
      <c r="C229" s="5">
        <f t="shared" si="4"/>
        <v>0</v>
      </c>
    </row>
    <row r="230" spans="1:3" x14ac:dyDescent="0.3">
      <c r="A230" s="48">
        <v>8809848762093</v>
      </c>
      <c r="C230" s="5">
        <f t="shared" si="4"/>
        <v>0</v>
      </c>
    </row>
    <row r="231" spans="1:3" x14ac:dyDescent="0.3">
      <c r="A231" s="48">
        <v>8809848762147</v>
      </c>
      <c r="C231" s="5">
        <f t="shared" si="4"/>
        <v>0</v>
      </c>
    </row>
    <row r="232" spans="1:3" x14ac:dyDescent="0.3">
      <c r="A232" s="48" t="s">
        <v>407</v>
      </c>
      <c r="C232" s="5">
        <f t="shared" si="4"/>
        <v>0</v>
      </c>
    </row>
    <row r="233" spans="1:3" x14ac:dyDescent="0.3">
      <c r="A233" s="48" t="s">
        <v>407</v>
      </c>
      <c r="C233" s="5">
        <f t="shared" si="4"/>
        <v>0</v>
      </c>
    </row>
    <row r="234" spans="1:3" x14ac:dyDescent="0.3">
      <c r="A234" s="48" t="s">
        <v>400</v>
      </c>
      <c r="C234" s="5">
        <f t="shared" si="4"/>
        <v>0</v>
      </c>
    </row>
    <row r="235" spans="1:3" x14ac:dyDescent="0.3">
      <c r="A235" s="48" t="s">
        <v>369</v>
      </c>
      <c r="C235" s="5">
        <f t="shared" si="4"/>
        <v>0</v>
      </c>
    </row>
    <row r="236" spans="1:3" x14ac:dyDescent="0.3">
      <c r="A236" s="48" t="s">
        <v>369</v>
      </c>
      <c r="C236" s="5">
        <f t="shared" si="4"/>
        <v>0</v>
      </c>
    </row>
    <row r="237" spans="1:3" x14ac:dyDescent="0.3">
      <c r="A237" s="48" t="s">
        <v>407</v>
      </c>
      <c r="C237" s="5">
        <f t="shared" si="4"/>
        <v>0</v>
      </c>
    </row>
    <row r="238" spans="1:3" x14ac:dyDescent="0.3">
      <c r="A238" s="48">
        <v>8809848762154</v>
      </c>
      <c r="C238" s="5">
        <f t="shared" si="4"/>
        <v>0</v>
      </c>
    </row>
    <row r="239" spans="1:3" x14ac:dyDescent="0.3">
      <c r="A239" s="48">
        <v>8809848762154</v>
      </c>
      <c r="C239" s="5">
        <f t="shared" si="4"/>
        <v>0</v>
      </c>
    </row>
    <row r="240" spans="1:3" x14ac:dyDescent="0.3">
      <c r="A240" s="48">
        <v>8809848762147</v>
      </c>
      <c r="C240" s="5">
        <f t="shared" si="4"/>
        <v>0</v>
      </c>
    </row>
    <row r="241" spans="1:3" x14ac:dyDescent="0.3">
      <c r="A241" s="48" t="s">
        <v>404</v>
      </c>
      <c r="C241" s="5">
        <f t="shared" si="4"/>
        <v>0</v>
      </c>
    </row>
    <row r="242" spans="1:3" x14ac:dyDescent="0.3">
      <c r="A242" s="48" t="s">
        <v>404</v>
      </c>
      <c r="C242" s="5">
        <f t="shared" si="4"/>
        <v>0</v>
      </c>
    </row>
    <row r="243" spans="1:3" x14ac:dyDescent="0.3">
      <c r="A243" s="48" t="s">
        <v>405</v>
      </c>
      <c r="C243" s="5">
        <f t="shared" si="4"/>
        <v>0</v>
      </c>
    </row>
    <row r="244" spans="1:3" x14ac:dyDescent="0.3">
      <c r="A244" s="48" t="s">
        <v>405</v>
      </c>
      <c r="C244" s="5">
        <f t="shared" si="4"/>
        <v>0</v>
      </c>
    </row>
    <row r="245" spans="1:3" x14ac:dyDescent="0.3">
      <c r="A245" s="48" t="s">
        <v>404</v>
      </c>
      <c r="C245" s="5">
        <f t="shared" si="4"/>
        <v>0</v>
      </c>
    </row>
    <row r="246" spans="1:3" x14ac:dyDescent="0.3">
      <c r="A246" s="48" t="s">
        <v>404</v>
      </c>
      <c r="C246" s="5">
        <f t="shared" si="4"/>
        <v>0</v>
      </c>
    </row>
    <row r="247" spans="1:3" x14ac:dyDescent="0.3">
      <c r="A247" s="48">
        <v>8809798693232</v>
      </c>
      <c r="C247" s="5">
        <f t="shared" si="4"/>
        <v>0</v>
      </c>
    </row>
    <row r="248" spans="1:3" x14ac:dyDescent="0.3">
      <c r="A248" s="48">
        <v>8809798693232</v>
      </c>
      <c r="C248" s="5">
        <f t="shared" si="4"/>
        <v>0</v>
      </c>
    </row>
    <row r="249" spans="1:3" x14ac:dyDescent="0.3">
      <c r="A249" s="48">
        <v>8809798693072</v>
      </c>
      <c r="C249" s="5">
        <f t="shared" si="4"/>
        <v>0</v>
      </c>
    </row>
    <row r="250" spans="1:3" x14ac:dyDescent="0.3">
      <c r="A250" s="48">
        <v>8809798693072</v>
      </c>
      <c r="C250" s="5">
        <f t="shared" si="4"/>
        <v>0</v>
      </c>
    </row>
    <row r="251" spans="1:3" x14ac:dyDescent="0.3">
      <c r="A251" s="48">
        <v>8809798693140</v>
      </c>
      <c r="C251" s="5">
        <f t="shared" si="4"/>
        <v>0</v>
      </c>
    </row>
    <row r="252" spans="1:3" x14ac:dyDescent="0.3">
      <c r="A252" s="48">
        <v>8809798693089</v>
      </c>
      <c r="C252" s="5">
        <f t="shared" si="4"/>
        <v>0</v>
      </c>
    </row>
    <row r="253" spans="1:3" x14ac:dyDescent="0.3">
      <c r="A253" s="48">
        <v>8809798693089</v>
      </c>
      <c r="C253" s="5">
        <f t="shared" si="4"/>
        <v>0</v>
      </c>
    </row>
    <row r="254" spans="1:3" x14ac:dyDescent="0.3">
      <c r="A254" s="48">
        <v>8809798693065</v>
      </c>
      <c r="C254" s="5">
        <f t="shared" si="4"/>
        <v>0</v>
      </c>
    </row>
    <row r="255" spans="1:3" x14ac:dyDescent="0.3">
      <c r="A255" s="48">
        <v>8809798693065</v>
      </c>
      <c r="C255" s="5">
        <f t="shared" si="4"/>
        <v>0</v>
      </c>
    </row>
    <row r="256" spans="1:3" x14ac:dyDescent="0.3">
      <c r="A256" s="48">
        <v>8809798693089</v>
      </c>
      <c r="C256" s="5">
        <f t="shared" si="4"/>
        <v>0</v>
      </c>
    </row>
    <row r="257" spans="1:3" x14ac:dyDescent="0.3">
      <c r="A257" s="48">
        <v>8809798693089</v>
      </c>
      <c r="C257" s="5">
        <f t="shared" si="4"/>
        <v>0</v>
      </c>
    </row>
    <row r="258" spans="1:3" x14ac:dyDescent="0.3">
      <c r="A258" s="48">
        <v>8809798693225</v>
      </c>
      <c r="C258" s="5">
        <f t="shared" ref="C258:C321" si="5">COUNTIF(A:A,B258)</f>
        <v>0</v>
      </c>
    </row>
    <row r="259" spans="1:3" x14ac:dyDescent="0.3">
      <c r="A259" s="48">
        <v>8809798693225</v>
      </c>
      <c r="C259" s="5">
        <f t="shared" si="5"/>
        <v>0</v>
      </c>
    </row>
    <row r="260" spans="1:3" x14ac:dyDescent="0.3">
      <c r="A260" s="48">
        <v>8809798693188</v>
      </c>
      <c r="C260" s="5">
        <f t="shared" si="5"/>
        <v>0</v>
      </c>
    </row>
    <row r="261" spans="1:3" x14ac:dyDescent="0.3">
      <c r="A261" s="48">
        <v>8809798693102</v>
      </c>
      <c r="C261" s="5">
        <f t="shared" si="5"/>
        <v>0</v>
      </c>
    </row>
    <row r="262" spans="1:3" x14ac:dyDescent="0.3">
      <c r="A262" s="48">
        <v>8809798693102</v>
      </c>
      <c r="C262" s="5">
        <f t="shared" si="5"/>
        <v>0</v>
      </c>
    </row>
    <row r="263" spans="1:3" x14ac:dyDescent="0.3">
      <c r="A263" s="48">
        <v>8809798693065</v>
      </c>
      <c r="C263" s="5">
        <f t="shared" si="5"/>
        <v>0</v>
      </c>
    </row>
    <row r="264" spans="1:3" x14ac:dyDescent="0.3">
      <c r="A264" s="48">
        <v>8809798693201</v>
      </c>
      <c r="C264" s="5">
        <f t="shared" si="5"/>
        <v>0</v>
      </c>
    </row>
    <row r="265" spans="1:3" x14ac:dyDescent="0.3">
      <c r="A265" s="48" t="s">
        <v>406</v>
      </c>
      <c r="C265" s="5">
        <f t="shared" si="5"/>
        <v>0</v>
      </c>
    </row>
    <row r="266" spans="1:3" x14ac:dyDescent="0.3">
      <c r="A266" s="48">
        <v>8809798693218</v>
      </c>
      <c r="C266" s="5">
        <f t="shared" si="5"/>
        <v>0</v>
      </c>
    </row>
    <row r="267" spans="1:3" x14ac:dyDescent="0.3">
      <c r="A267" s="48">
        <v>8809798693126</v>
      </c>
      <c r="C267" s="5">
        <f t="shared" si="5"/>
        <v>0</v>
      </c>
    </row>
    <row r="268" spans="1:3" x14ac:dyDescent="0.3">
      <c r="A268" s="48">
        <v>8809798693096</v>
      </c>
      <c r="C268" s="5">
        <f t="shared" si="5"/>
        <v>0</v>
      </c>
    </row>
    <row r="269" spans="1:3" x14ac:dyDescent="0.3">
      <c r="A269" s="48">
        <v>8809798693096</v>
      </c>
      <c r="C269" s="5">
        <f t="shared" si="5"/>
        <v>0</v>
      </c>
    </row>
    <row r="270" spans="1:3" x14ac:dyDescent="0.3">
      <c r="A270" s="48">
        <v>8809798693096</v>
      </c>
      <c r="C270" s="5">
        <f t="shared" si="5"/>
        <v>0</v>
      </c>
    </row>
    <row r="271" spans="1:3" x14ac:dyDescent="0.3">
      <c r="A271" s="48">
        <v>8809798693188</v>
      </c>
      <c r="C271" s="5">
        <f t="shared" si="5"/>
        <v>0</v>
      </c>
    </row>
    <row r="272" spans="1:3" x14ac:dyDescent="0.3">
      <c r="A272" s="48">
        <v>8809798693089</v>
      </c>
      <c r="C272" s="5">
        <f t="shared" si="5"/>
        <v>0</v>
      </c>
    </row>
    <row r="273" spans="1:3" x14ac:dyDescent="0.3">
      <c r="A273" s="48">
        <v>8809798693096</v>
      </c>
      <c r="C273" s="5">
        <f t="shared" si="5"/>
        <v>0</v>
      </c>
    </row>
    <row r="274" spans="1:3" x14ac:dyDescent="0.3">
      <c r="A274" s="48">
        <v>8809798693096</v>
      </c>
      <c r="C274" s="5">
        <f t="shared" si="5"/>
        <v>0</v>
      </c>
    </row>
    <row r="275" spans="1:3" x14ac:dyDescent="0.3">
      <c r="A275" s="48">
        <v>8809798693096</v>
      </c>
      <c r="C275" s="5">
        <f t="shared" si="5"/>
        <v>0</v>
      </c>
    </row>
    <row r="276" spans="1:3" x14ac:dyDescent="0.3">
      <c r="A276" s="48">
        <v>8809798693201</v>
      </c>
      <c r="C276" s="5">
        <f t="shared" si="5"/>
        <v>0</v>
      </c>
    </row>
    <row r="277" spans="1:3" x14ac:dyDescent="0.3">
      <c r="A277" s="48" t="s">
        <v>401</v>
      </c>
      <c r="C277" s="5">
        <f t="shared" si="5"/>
        <v>0</v>
      </c>
    </row>
    <row r="278" spans="1:3" x14ac:dyDescent="0.3">
      <c r="A278" s="48">
        <v>8809798693201</v>
      </c>
      <c r="C278" s="5">
        <f t="shared" si="5"/>
        <v>0</v>
      </c>
    </row>
    <row r="279" spans="1:3" x14ac:dyDescent="0.3">
      <c r="A279" s="48">
        <v>8809798693201</v>
      </c>
      <c r="C279" s="5">
        <f t="shared" si="5"/>
        <v>0</v>
      </c>
    </row>
    <row r="280" spans="1:3" x14ac:dyDescent="0.3">
      <c r="A280" s="48">
        <v>8800242296405</v>
      </c>
      <c r="C280" s="5">
        <f t="shared" si="5"/>
        <v>0</v>
      </c>
    </row>
    <row r="281" spans="1:3" x14ac:dyDescent="0.3">
      <c r="A281" s="48">
        <v>8809798693218</v>
      </c>
      <c r="C281" s="5">
        <f t="shared" si="5"/>
        <v>0</v>
      </c>
    </row>
    <row r="282" spans="1:3" x14ac:dyDescent="0.3">
      <c r="A282" s="6"/>
      <c r="C282" s="5">
        <f t="shared" si="5"/>
        <v>0</v>
      </c>
    </row>
    <row r="283" spans="1:3" x14ac:dyDescent="0.3">
      <c r="A283" s="6"/>
      <c r="C283" s="5">
        <f t="shared" si="5"/>
        <v>0</v>
      </c>
    </row>
    <row r="284" spans="1:3" x14ac:dyDescent="0.3">
      <c r="A284" s="6"/>
      <c r="C284" s="5">
        <f t="shared" si="5"/>
        <v>0</v>
      </c>
    </row>
    <row r="285" spans="1:3" x14ac:dyDescent="0.3">
      <c r="A285" s="6"/>
      <c r="C285" s="5">
        <f t="shared" si="5"/>
        <v>0</v>
      </c>
    </row>
    <row r="286" spans="1:3" x14ac:dyDescent="0.3">
      <c r="A286" s="6"/>
      <c r="C286" s="5">
        <f t="shared" si="5"/>
        <v>0</v>
      </c>
    </row>
    <row r="287" spans="1:3" x14ac:dyDescent="0.3">
      <c r="A287" s="6"/>
      <c r="C287" s="5">
        <f t="shared" si="5"/>
        <v>0</v>
      </c>
    </row>
    <row r="288" spans="1:3" x14ac:dyDescent="0.3">
      <c r="A288" s="6"/>
      <c r="C288" s="5">
        <f t="shared" si="5"/>
        <v>0</v>
      </c>
    </row>
    <row r="289" spans="1:3" x14ac:dyDescent="0.3">
      <c r="A289" s="6"/>
      <c r="C289" s="5">
        <f t="shared" si="5"/>
        <v>0</v>
      </c>
    </row>
    <row r="290" spans="1:3" x14ac:dyDescent="0.3">
      <c r="A290" s="6"/>
      <c r="C290" s="5">
        <f t="shared" si="5"/>
        <v>0</v>
      </c>
    </row>
    <row r="291" spans="1:3" x14ac:dyDescent="0.3">
      <c r="A291" s="6"/>
      <c r="C291" s="5">
        <f t="shared" si="5"/>
        <v>0</v>
      </c>
    </row>
    <row r="292" spans="1:3" x14ac:dyDescent="0.3">
      <c r="A292" s="6"/>
      <c r="C292" s="5">
        <f t="shared" si="5"/>
        <v>0</v>
      </c>
    </row>
    <row r="293" spans="1:3" x14ac:dyDescent="0.3">
      <c r="A293" s="6"/>
      <c r="C293" s="5">
        <f t="shared" si="5"/>
        <v>0</v>
      </c>
    </row>
    <row r="294" spans="1:3" x14ac:dyDescent="0.3">
      <c r="A294" s="6"/>
      <c r="C294" s="5">
        <f t="shared" si="5"/>
        <v>0</v>
      </c>
    </row>
    <row r="295" spans="1:3" x14ac:dyDescent="0.3">
      <c r="A295" s="6"/>
      <c r="C295" s="5">
        <f t="shared" si="5"/>
        <v>0</v>
      </c>
    </row>
    <row r="296" spans="1:3" x14ac:dyDescent="0.3">
      <c r="A296" s="6"/>
      <c r="C296" s="5">
        <f t="shared" si="5"/>
        <v>0</v>
      </c>
    </row>
    <row r="297" spans="1:3" x14ac:dyDescent="0.3">
      <c r="A297" s="6"/>
      <c r="C297" s="5">
        <f t="shared" si="5"/>
        <v>0</v>
      </c>
    </row>
    <row r="298" spans="1:3" x14ac:dyDescent="0.3">
      <c r="A298" s="6"/>
      <c r="C298" s="5">
        <f t="shared" si="5"/>
        <v>0</v>
      </c>
    </row>
    <row r="299" spans="1:3" x14ac:dyDescent="0.3">
      <c r="A299" s="6"/>
      <c r="C299" s="5">
        <f t="shared" si="5"/>
        <v>0</v>
      </c>
    </row>
    <row r="300" spans="1:3" x14ac:dyDescent="0.3">
      <c r="A300" s="6"/>
      <c r="C300" s="5">
        <f t="shared" si="5"/>
        <v>0</v>
      </c>
    </row>
    <row r="301" spans="1:3" x14ac:dyDescent="0.3">
      <c r="A301" s="6"/>
      <c r="C301" s="5">
        <f t="shared" si="5"/>
        <v>0</v>
      </c>
    </row>
    <row r="302" spans="1:3" x14ac:dyDescent="0.3">
      <c r="A302" s="6"/>
      <c r="C302" s="5">
        <f t="shared" si="5"/>
        <v>0</v>
      </c>
    </row>
    <row r="303" spans="1:3" x14ac:dyDescent="0.3">
      <c r="A303" s="6"/>
      <c r="C303" s="5">
        <f t="shared" si="5"/>
        <v>0</v>
      </c>
    </row>
    <row r="304" spans="1:3" x14ac:dyDescent="0.3">
      <c r="A304" s="6"/>
      <c r="C304" s="5">
        <f t="shared" si="5"/>
        <v>0</v>
      </c>
    </row>
    <row r="305" spans="1:3" x14ac:dyDescent="0.3">
      <c r="A305" s="6"/>
      <c r="C305" s="5">
        <f t="shared" si="5"/>
        <v>0</v>
      </c>
    </row>
    <row r="306" spans="1:3" x14ac:dyDescent="0.3">
      <c r="A306" s="6"/>
      <c r="C306" s="5">
        <f t="shared" si="5"/>
        <v>0</v>
      </c>
    </row>
    <row r="307" spans="1:3" x14ac:dyDescent="0.3">
      <c r="A307" s="6"/>
      <c r="C307" s="5">
        <f t="shared" si="5"/>
        <v>0</v>
      </c>
    </row>
    <row r="308" spans="1:3" x14ac:dyDescent="0.3">
      <c r="A308" s="6"/>
      <c r="C308" s="5">
        <f t="shared" si="5"/>
        <v>0</v>
      </c>
    </row>
    <row r="309" spans="1:3" x14ac:dyDescent="0.3">
      <c r="A309" s="6"/>
      <c r="C309" s="5">
        <f t="shared" si="5"/>
        <v>0</v>
      </c>
    </row>
    <row r="310" spans="1:3" x14ac:dyDescent="0.3">
      <c r="A310" s="6"/>
      <c r="C310" s="5">
        <f t="shared" si="5"/>
        <v>0</v>
      </c>
    </row>
    <row r="311" spans="1:3" x14ac:dyDescent="0.3">
      <c r="A311" s="6"/>
      <c r="C311" s="5">
        <f t="shared" si="5"/>
        <v>0</v>
      </c>
    </row>
    <row r="312" spans="1:3" x14ac:dyDescent="0.3">
      <c r="A312" s="6"/>
      <c r="C312" s="5">
        <f t="shared" si="5"/>
        <v>0</v>
      </c>
    </row>
    <row r="313" spans="1:3" x14ac:dyDescent="0.3">
      <c r="A313" s="6"/>
      <c r="C313" s="5">
        <f t="shared" si="5"/>
        <v>0</v>
      </c>
    </row>
    <row r="314" spans="1:3" x14ac:dyDescent="0.3">
      <c r="A314" s="6"/>
      <c r="C314" s="5">
        <f t="shared" si="5"/>
        <v>0</v>
      </c>
    </row>
    <row r="315" spans="1:3" x14ac:dyDescent="0.3">
      <c r="A315" s="6"/>
      <c r="C315" s="5">
        <f t="shared" si="5"/>
        <v>0</v>
      </c>
    </row>
    <row r="316" spans="1:3" x14ac:dyDescent="0.3">
      <c r="A316" s="6"/>
      <c r="C316" s="5">
        <f t="shared" si="5"/>
        <v>0</v>
      </c>
    </row>
    <row r="317" spans="1:3" x14ac:dyDescent="0.3">
      <c r="A317" s="6"/>
      <c r="C317" s="5">
        <f t="shared" si="5"/>
        <v>0</v>
      </c>
    </row>
    <row r="318" spans="1:3" x14ac:dyDescent="0.3">
      <c r="A318" s="6"/>
      <c r="C318" s="5">
        <f t="shared" si="5"/>
        <v>0</v>
      </c>
    </row>
    <row r="319" spans="1:3" x14ac:dyDescent="0.3">
      <c r="A319" s="6"/>
      <c r="C319" s="5">
        <f t="shared" si="5"/>
        <v>0</v>
      </c>
    </row>
    <row r="320" spans="1:3" x14ac:dyDescent="0.3">
      <c r="A320" s="6"/>
      <c r="C320" s="5">
        <f t="shared" si="5"/>
        <v>0</v>
      </c>
    </row>
    <row r="321" spans="1:3" x14ac:dyDescent="0.3">
      <c r="A321" s="6"/>
      <c r="C321" s="5">
        <f t="shared" si="5"/>
        <v>0</v>
      </c>
    </row>
    <row r="322" spans="1:3" x14ac:dyDescent="0.3">
      <c r="A322" s="6"/>
      <c r="C322" s="5">
        <f t="shared" ref="C322:C356" si="6">COUNTIF(A:A,B322)</f>
        <v>0</v>
      </c>
    </row>
    <row r="323" spans="1:3" x14ac:dyDescent="0.3">
      <c r="A323" s="6"/>
      <c r="C323" s="5">
        <f t="shared" si="6"/>
        <v>0</v>
      </c>
    </row>
    <row r="324" spans="1:3" x14ac:dyDescent="0.3">
      <c r="A324" s="6"/>
      <c r="C324" s="5">
        <f t="shared" si="6"/>
        <v>0</v>
      </c>
    </row>
    <row r="325" spans="1:3" x14ac:dyDescent="0.3">
      <c r="A325" s="6"/>
      <c r="C325" s="5">
        <f t="shared" si="6"/>
        <v>0</v>
      </c>
    </row>
    <row r="326" spans="1:3" x14ac:dyDescent="0.3">
      <c r="A326" s="6"/>
      <c r="C326" s="5">
        <f t="shared" si="6"/>
        <v>0</v>
      </c>
    </row>
    <row r="327" spans="1:3" x14ac:dyDescent="0.3">
      <c r="A327" s="6"/>
      <c r="C327" s="5">
        <f t="shared" si="6"/>
        <v>0</v>
      </c>
    </row>
    <row r="328" spans="1:3" x14ac:dyDescent="0.3">
      <c r="A328" s="6"/>
      <c r="C328" s="5">
        <f t="shared" si="6"/>
        <v>0</v>
      </c>
    </row>
    <row r="329" spans="1:3" x14ac:dyDescent="0.3">
      <c r="A329" s="6"/>
      <c r="C329" s="5">
        <f t="shared" si="6"/>
        <v>0</v>
      </c>
    </row>
    <row r="330" spans="1:3" x14ac:dyDescent="0.3">
      <c r="A330" s="6"/>
      <c r="C330" s="5">
        <f t="shared" si="6"/>
        <v>0</v>
      </c>
    </row>
    <row r="331" spans="1:3" x14ac:dyDescent="0.3">
      <c r="A331" s="6"/>
      <c r="C331" s="5">
        <f t="shared" si="6"/>
        <v>0</v>
      </c>
    </row>
    <row r="332" spans="1:3" x14ac:dyDescent="0.3">
      <c r="A332" s="6"/>
      <c r="C332" s="5">
        <f t="shared" si="6"/>
        <v>0</v>
      </c>
    </row>
    <row r="333" spans="1:3" x14ac:dyDescent="0.3">
      <c r="A333" s="6"/>
      <c r="C333" s="5">
        <f t="shared" si="6"/>
        <v>0</v>
      </c>
    </row>
    <row r="334" spans="1:3" x14ac:dyDescent="0.3">
      <c r="A334" s="6"/>
      <c r="C334" s="5">
        <f t="shared" si="6"/>
        <v>0</v>
      </c>
    </row>
    <row r="335" spans="1:3" x14ac:dyDescent="0.3">
      <c r="A335" s="6"/>
      <c r="C335" s="5">
        <f t="shared" si="6"/>
        <v>0</v>
      </c>
    </row>
    <row r="336" spans="1:3" x14ac:dyDescent="0.3">
      <c r="A336" s="6"/>
      <c r="C336" s="5">
        <f t="shared" si="6"/>
        <v>0</v>
      </c>
    </row>
    <row r="337" spans="1:3" x14ac:dyDescent="0.3">
      <c r="A337" s="6"/>
      <c r="C337" s="5">
        <f t="shared" si="6"/>
        <v>0</v>
      </c>
    </row>
    <row r="338" spans="1:3" x14ac:dyDescent="0.3">
      <c r="A338" s="6"/>
      <c r="C338" s="5">
        <f t="shared" si="6"/>
        <v>0</v>
      </c>
    </row>
    <row r="339" spans="1:3" x14ac:dyDescent="0.3">
      <c r="A339" s="6"/>
      <c r="C339" s="5">
        <f t="shared" si="6"/>
        <v>0</v>
      </c>
    </row>
    <row r="340" spans="1:3" x14ac:dyDescent="0.3">
      <c r="A340" s="6"/>
      <c r="C340" s="5">
        <f t="shared" si="6"/>
        <v>0</v>
      </c>
    </row>
    <row r="341" spans="1:3" x14ac:dyDescent="0.3">
      <c r="A341" s="6"/>
      <c r="C341" s="5">
        <f t="shared" si="6"/>
        <v>0</v>
      </c>
    </row>
    <row r="342" spans="1:3" x14ac:dyDescent="0.3">
      <c r="A342" s="6"/>
      <c r="C342" s="5">
        <f t="shared" si="6"/>
        <v>0</v>
      </c>
    </row>
    <row r="343" spans="1:3" x14ac:dyDescent="0.3">
      <c r="A343" s="6"/>
      <c r="C343" s="5">
        <f t="shared" si="6"/>
        <v>0</v>
      </c>
    </row>
    <row r="344" spans="1:3" x14ac:dyDescent="0.3">
      <c r="A344" s="6"/>
      <c r="C344" s="5">
        <f t="shared" si="6"/>
        <v>0</v>
      </c>
    </row>
    <row r="345" spans="1:3" x14ac:dyDescent="0.3">
      <c r="A345" s="6"/>
      <c r="C345" s="5">
        <f t="shared" si="6"/>
        <v>0</v>
      </c>
    </row>
    <row r="346" spans="1:3" x14ac:dyDescent="0.3">
      <c r="A346" s="6"/>
      <c r="C346" s="5">
        <f t="shared" si="6"/>
        <v>0</v>
      </c>
    </row>
    <row r="347" spans="1:3" x14ac:dyDescent="0.3">
      <c r="A347" s="6"/>
      <c r="C347" s="5">
        <f t="shared" si="6"/>
        <v>0</v>
      </c>
    </row>
    <row r="348" spans="1:3" x14ac:dyDescent="0.3">
      <c r="A348" s="6"/>
      <c r="C348" s="5">
        <f t="shared" si="6"/>
        <v>0</v>
      </c>
    </row>
    <row r="349" spans="1:3" x14ac:dyDescent="0.3">
      <c r="A349" s="6"/>
      <c r="C349" s="5">
        <f t="shared" si="6"/>
        <v>0</v>
      </c>
    </row>
    <row r="350" spans="1:3" x14ac:dyDescent="0.3">
      <c r="A350" s="6"/>
      <c r="C350" s="5">
        <f t="shared" si="6"/>
        <v>0</v>
      </c>
    </row>
    <row r="351" spans="1:3" x14ac:dyDescent="0.3">
      <c r="A351" s="6"/>
      <c r="C351" s="5">
        <f t="shared" si="6"/>
        <v>0</v>
      </c>
    </row>
    <row r="352" spans="1:3" x14ac:dyDescent="0.3">
      <c r="A352" s="6"/>
      <c r="C352" s="5">
        <f t="shared" si="6"/>
        <v>0</v>
      </c>
    </row>
    <row r="353" spans="1:3" x14ac:dyDescent="0.3">
      <c r="A353" s="6"/>
      <c r="C353" s="5">
        <f t="shared" si="6"/>
        <v>0</v>
      </c>
    </row>
    <row r="354" spans="1:3" x14ac:dyDescent="0.3">
      <c r="A354" s="6"/>
      <c r="C354" s="5">
        <f t="shared" si="6"/>
        <v>0</v>
      </c>
    </row>
    <row r="355" spans="1:3" x14ac:dyDescent="0.3">
      <c r="A355" s="6"/>
      <c r="C355" s="5">
        <f t="shared" si="6"/>
        <v>0</v>
      </c>
    </row>
    <row r="356" spans="1:3" x14ac:dyDescent="0.3">
      <c r="A356" s="6"/>
      <c r="C356" s="5">
        <f t="shared" si="6"/>
        <v>0</v>
      </c>
    </row>
    <row r="357" spans="1:3" x14ac:dyDescent="0.3">
      <c r="A357" s="6"/>
    </row>
    <row r="358" spans="1:3" x14ac:dyDescent="0.3">
      <c r="A358" s="6"/>
    </row>
    <row r="359" spans="1:3" x14ac:dyDescent="0.3">
      <c r="A359" s="6"/>
    </row>
    <row r="360" spans="1:3" x14ac:dyDescent="0.3">
      <c r="A360" s="6"/>
    </row>
    <row r="361" spans="1:3" x14ac:dyDescent="0.3">
      <c r="A361" s="6"/>
    </row>
    <row r="362" spans="1:3" x14ac:dyDescent="0.3">
      <c r="A362" s="6"/>
    </row>
    <row r="363" spans="1:3" x14ac:dyDescent="0.3">
      <c r="A363" s="6"/>
    </row>
    <row r="364" spans="1:3" x14ac:dyDescent="0.3">
      <c r="A364" s="6"/>
    </row>
    <row r="365" spans="1:3" x14ac:dyDescent="0.3">
      <c r="A365" s="6"/>
    </row>
    <row r="366" spans="1:3" x14ac:dyDescent="0.3">
      <c r="A366" s="6"/>
    </row>
    <row r="367" spans="1:3" x14ac:dyDescent="0.3">
      <c r="A367" s="6"/>
    </row>
    <row r="368" spans="1:3" x14ac:dyDescent="0.3">
      <c r="A368" s="6"/>
    </row>
    <row r="369" spans="1:1" x14ac:dyDescent="0.3">
      <c r="A369" s="6"/>
    </row>
    <row r="370" spans="1:1" x14ac:dyDescent="0.3">
      <c r="A370" s="6"/>
    </row>
    <row r="371" spans="1:1" x14ac:dyDescent="0.3">
      <c r="A371" s="6"/>
    </row>
    <row r="372" spans="1:1" x14ac:dyDescent="0.3">
      <c r="A372" s="6"/>
    </row>
    <row r="373" spans="1:1" x14ac:dyDescent="0.3">
      <c r="A373" s="6"/>
    </row>
    <row r="374" spans="1:1" x14ac:dyDescent="0.3">
      <c r="A374" s="6"/>
    </row>
  </sheetData>
  <phoneticPr fontId="5" type="noConversion"/>
  <conditionalFormatting sqref="B1 B3:B26 B37:B1048576">
    <cfRule type="duplicateValues" dxfId="7" priority="6"/>
    <cfRule type="duplicateValues" dxfId="6" priority="7"/>
    <cfRule type="duplicateValues" dxfId="5" priority="8"/>
  </conditionalFormatting>
  <conditionalFormatting sqref="B1:B1048576">
    <cfRule type="duplicateValues" dxfId="4" priority="1"/>
  </conditionalFormatting>
  <conditionalFormatting sqref="B2">
    <cfRule type="duplicateValues" dxfId="3" priority="2"/>
    <cfRule type="duplicateValues" dxfId="2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"/>
  <sheetViews>
    <sheetView workbookViewId="0">
      <selection sqref="A1:U1"/>
    </sheetView>
  </sheetViews>
  <sheetFormatPr defaultRowHeight="16.5" x14ac:dyDescent="0.3"/>
  <sheetData>
    <row r="1" spans="1:21" ht="300" customHeight="1" x14ac:dyDescent="0.3">
      <c r="A1" s="40" t="s">
        <v>82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2"/>
    </row>
    <row r="3" spans="1:21" ht="200.1" customHeight="1" x14ac:dyDescent="0.3">
      <c r="A3" s="40" t="s">
        <v>83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2"/>
    </row>
  </sheetData>
  <mergeCells count="2">
    <mergeCell ref="A1:U1"/>
    <mergeCell ref="A3:U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로켓그로스 입고</vt:lpstr>
      <vt:lpstr>바코드찍는곳</vt:lpstr>
      <vt:lpstr>엑셀 일괄 입고요청 사용법 및 유의사항</vt:lpstr>
      <vt:lpstr>바코드찍는곳!Extract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준호 문</cp:lastModifiedBy>
  <dcterms:created xsi:type="dcterms:W3CDTF">2023-06-16T02:25:18Z</dcterms:created>
  <dcterms:modified xsi:type="dcterms:W3CDTF">2025-09-09T07:37:50Z</dcterms:modified>
</cp:coreProperties>
</file>